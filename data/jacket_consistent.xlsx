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eleonorab\repository\garment-waterproof-analysis\data\"/>
    </mc:Choice>
  </mc:AlternateContent>
  <xr:revisionPtr revIDLastSave="0" documentId="13_ncr:1_{9997AD45-6E20-4B33-8D90-43DD6EDC2FD9}" xr6:coauthVersionLast="47" xr6:coauthVersionMax="47" xr10:uidLastSave="{00000000-0000-0000-0000-000000000000}"/>
  <bookViews>
    <workbookView xWindow="-38520" yWindow="-2730" windowWidth="38640" windowHeight="21240" firstSheet="1" activeTab="1" xr2:uid="{8E96CB25-4989-4711-B76E-B6A2A22CE5C6}"/>
  </bookViews>
  <sheets>
    <sheet name="All Jackets Visual Inspection" sheetId="2" r:id="rId1"/>
    <sheet name="All Jackets BAST Results" sheetId="1" r:id="rId2"/>
  </sheets>
  <definedNames>
    <definedName name="_xlnm._FilterDatabase" localSheetId="1" hidden="1">'All Jackets BAST Results'!$A$1:$BW$268</definedName>
    <definedName name="_xlnm._FilterDatabase" localSheetId="0" hidden="1">'All Jackets Visual Inspection'!$A$1:$BK$256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256" i="2" l="1"/>
  <c r="BA256" i="2"/>
  <c r="AV256" i="2"/>
  <c r="AJ256" i="2"/>
  <c r="Z256" i="2"/>
  <c r="BI255" i="2"/>
  <c r="BA255" i="2"/>
  <c r="AV255" i="2"/>
  <c r="AJ255" i="2"/>
  <c r="Z255" i="2"/>
  <c r="BI254" i="2"/>
  <c r="BA254" i="2"/>
  <c r="AV254" i="2"/>
  <c r="AJ254" i="2"/>
  <c r="Z254" i="2"/>
  <c r="BI253" i="2"/>
  <c r="BA253" i="2"/>
  <c r="AV253" i="2"/>
  <c r="AJ253" i="2"/>
  <c r="Z253" i="2"/>
  <c r="BI252" i="2"/>
  <c r="BA252" i="2"/>
  <c r="AV252" i="2"/>
  <c r="AJ252" i="2"/>
  <c r="Z252" i="2"/>
  <c r="BI251" i="2"/>
  <c r="BA251" i="2"/>
  <c r="AV251" i="2"/>
  <c r="AJ251" i="2"/>
  <c r="Z251" i="2"/>
  <c r="BI250" i="2"/>
  <c r="BA250" i="2"/>
  <c r="AV250" i="2"/>
  <c r="AJ250" i="2"/>
  <c r="Z250" i="2"/>
  <c r="BI249" i="2"/>
  <c r="BA249" i="2"/>
  <c r="AV249" i="2"/>
  <c r="AJ249" i="2"/>
  <c r="Z249" i="2"/>
  <c r="BI248" i="2"/>
  <c r="BA248" i="2"/>
  <c r="AV248" i="2"/>
  <c r="AJ248" i="2"/>
  <c r="Z248" i="2"/>
  <c r="BI247" i="2"/>
  <c r="BA247" i="2"/>
  <c r="AV247" i="2"/>
  <c r="AJ247" i="2"/>
  <c r="Z247" i="2"/>
  <c r="BI246" i="2"/>
  <c r="BA246" i="2"/>
  <c r="AV246" i="2"/>
  <c r="AJ246" i="2"/>
  <c r="Z246" i="2"/>
  <c r="BI245" i="2"/>
  <c r="BA245" i="2"/>
  <c r="AV245" i="2"/>
  <c r="AJ245" i="2"/>
  <c r="Z245" i="2"/>
  <c r="BI244" i="2"/>
  <c r="BA244" i="2"/>
  <c r="AV244" i="2"/>
  <c r="AJ244" i="2"/>
  <c r="Z244" i="2"/>
  <c r="BI243" i="2"/>
  <c r="BA243" i="2"/>
  <c r="AV243" i="2"/>
  <c r="AJ243" i="2"/>
  <c r="Z243" i="2"/>
  <c r="BI242" i="2"/>
  <c r="BA242" i="2"/>
  <c r="AV242" i="2"/>
  <c r="AJ242" i="2"/>
  <c r="Z242" i="2"/>
  <c r="BI241" i="2"/>
  <c r="BA241" i="2"/>
  <c r="AV241" i="2"/>
  <c r="AJ241" i="2"/>
  <c r="Z241" i="2"/>
  <c r="BI240" i="2"/>
  <c r="BA240" i="2"/>
  <c r="AV240" i="2"/>
  <c r="AJ240" i="2"/>
  <c r="Z240" i="2"/>
  <c r="BI239" i="2"/>
  <c r="BA239" i="2"/>
  <c r="AV239" i="2"/>
  <c r="AJ239" i="2"/>
  <c r="Z239" i="2"/>
  <c r="BI238" i="2"/>
  <c r="BA238" i="2"/>
  <c r="AV238" i="2"/>
  <c r="AJ238" i="2"/>
  <c r="Z238" i="2"/>
  <c r="BI237" i="2"/>
  <c r="BA237" i="2"/>
  <c r="AV237" i="2"/>
  <c r="AJ237" i="2"/>
  <c r="Z237" i="2"/>
  <c r="BI236" i="2"/>
  <c r="BA236" i="2"/>
  <c r="AV236" i="2"/>
  <c r="AJ236" i="2"/>
  <c r="Z236" i="2"/>
  <c r="BI235" i="2"/>
  <c r="BA235" i="2"/>
  <c r="AV235" i="2"/>
  <c r="AJ235" i="2"/>
  <c r="Z235" i="2"/>
  <c r="BI234" i="2"/>
  <c r="BA234" i="2"/>
  <c r="AV234" i="2"/>
  <c r="AJ234" i="2"/>
  <c r="Z234" i="2"/>
  <c r="BI233" i="2"/>
  <c r="BA233" i="2"/>
  <c r="AV233" i="2"/>
  <c r="AJ233" i="2"/>
  <c r="Z233" i="2"/>
  <c r="BI232" i="2"/>
  <c r="BA232" i="2"/>
  <c r="AV232" i="2"/>
  <c r="AJ232" i="2"/>
  <c r="Z232" i="2"/>
  <c r="BI231" i="2"/>
  <c r="BA231" i="2"/>
  <c r="AV231" i="2"/>
  <c r="AJ231" i="2"/>
  <c r="Z231" i="2"/>
  <c r="BI230" i="2"/>
  <c r="BA230" i="2"/>
  <c r="AV230" i="2"/>
  <c r="AJ230" i="2"/>
  <c r="Z230" i="2"/>
  <c r="BI229" i="2"/>
  <c r="BA229" i="2"/>
  <c r="AV229" i="2"/>
  <c r="AJ229" i="2"/>
  <c r="Z229" i="2"/>
  <c r="BI228" i="2"/>
  <c r="BA228" i="2"/>
  <c r="AV228" i="2"/>
  <c r="AJ228" i="2"/>
  <c r="Z228" i="2"/>
  <c r="BI227" i="2"/>
  <c r="BA227" i="2"/>
  <c r="AV227" i="2"/>
  <c r="AJ227" i="2"/>
  <c r="Z227" i="2"/>
  <c r="BI226" i="2"/>
  <c r="BA226" i="2"/>
  <c r="AV226" i="2"/>
  <c r="AJ226" i="2"/>
  <c r="Z226" i="2"/>
  <c r="BI225" i="2"/>
  <c r="BA225" i="2"/>
  <c r="AV225" i="2"/>
  <c r="AJ225" i="2"/>
  <c r="Z225" i="2"/>
  <c r="BI224" i="2"/>
  <c r="BA224" i="2"/>
  <c r="AV224" i="2"/>
  <c r="AJ224" i="2"/>
  <c r="Z224" i="2"/>
  <c r="BI223" i="2"/>
  <c r="BA223" i="2"/>
  <c r="AV223" i="2"/>
  <c r="AJ223" i="2"/>
  <c r="Z223" i="2"/>
  <c r="BI222" i="2"/>
  <c r="BA222" i="2"/>
  <c r="AV222" i="2"/>
  <c r="AJ222" i="2"/>
  <c r="Z222" i="2"/>
  <c r="BI221" i="2"/>
  <c r="BA221" i="2"/>
  <c r="AV221" i="2"/>
  <c r="AJ221" i="2"/>
  <c r="Z221" i="2"/>
  <c r="BI220" i="2"/>
  <c r="BA220" i="2"/>
  <c r="AV220" i="2"/>
  <c r="AJ220" i="2"/>
  <c r="Z220" i="2"/>
  <c r="BI219" i="2"/>
  <c r="BA219" i="2"/>
  <c r="AV219" i="2"/>
  <c r="AJ219" i="2"/>
  <c r="Z219" i="2"/>
  <c r="BI218" i="2"/>
  <c r="BA218" i="2"/>
  <c r="AV218" i="2"/>
  <c r="AJ218" i="2"/>
  <c r="Z218" i="2"/>
  <c r="BI217" i="2"/>
  <c r="BA217" i="2"/>
  <c r="AJ217" i="2"/>
  <c r="Z217" i="2"/>
  <c r="BI216" i="2"/>
  <c r="BA216" i="2"/>
  <c r="AJ216" i="2"/>
  <c r="Z216" i="2"/>
  <c r="BI215" i="2"/>
  <c r="BA215" i="2"/>
  <c r="AJ215" i="2"/>
  <c r="Z215" i="2"/>
  <c r="BI214" i="2"/>
  <c r="BA214" i="2"/>
  <c r="AJ214" i="2"/>
  <c r="Z214" i="2"/>
  <c r="BI213" i="2"/>
  <c r="BA213" i="2"/>
  <c r="AJ213" i="2"/>
  <c r="Z213" i="2"/>
  <c r="BI212" i="2"/>
  <c r="BA212" i="2"/>
  <c r="AJ212" i="2"/>
  <c r="Z212" i="2"/>
  <c r="BI211" i="2"/>
  <c r="BA211" i="2"/>
  <c r="AJ211" i="2"/>
  <c r="Z211" i="2"/>
  <c r="BI210" i="2"/>
  <c r="BA210" i="2"/>
  <c r="AJ210" i="2"/>
  <c r="Z210" i="2"/>
  <c r="BI209" i="2"/>
  <c r="BA209" i="2"/>
  <c r="AJ209" i="2"/>
  <c r="Z209" i="2"/>
  <c r="BI208" i="2"/>
  <c r="BA208" i="2"/>
  <c r="AJ208" i="2"/>
  <c r="Z208" i="2"/>
  <c r="BI207" i="2"/>
  <c r="BA207" i="2"/>
  <c r="AJ207" i="2"/>
  <c r="Z207" i="2"/>
  <c r="BI206" i="2"/>
  <c r="BA206" i="2"/>
  <c r="AJ206" i="2"/>
  <c r="Z206" i="2"/>
  <c r="BI205" i="2"/>
  <c r="BA205" i="2"/>
  <c r="AJ205" i="2"/>
  <c r="Z205" i="2"/>
  <c r="BI204" i="2"/>
  <c r="BA204" i="2"/>
  <c r="AJ204" i="2"/>
  <c r="Z204" i="2"/>
  <c r="BI203" i="2"/>
  <c r="BA203" i="2"/>
  <c r="AV203" i="2"/>
  <c r="AJ203" i="2"/>
  <c r="Z203" i="2"/>
  <c r="BI202" i="2"/>
  <c r="BA202" i="2"/>
  <c r="AV202" i="2"/>
  <c r="AJ202" i="2"/>
  <c r="Z202" i="2"/>
  <c r="BI201" i="2"/>
  <c r="BA201" i="2"/>
  <c r="AV201" i="2"/>
  <c r="AJ201" i="2"/>
  <c r="Z201" i="2"/>
  <c r="BI200" i="2"/>
  <c r="BA200" i="2"/>
  <c r="AV200" i="2"/>
  <c r="AJ200" i="2"/>
  <c r="Z200" i="2"/>
  <c r="BI199" i="2"/>
  <c r="BA199" i="2"/>
  <c r="AV199" i="2"/>
  <c r="AJ199" i="2"/>
  <c r="Z199" i="2"/>
  <c r="BI198" i="2"/>
  <c r="BA198" i="2"/>
  <c r="AV198" i="2"/>
  <c r="AJ198" i="2"/>
  <c r="Z198" i="2"/>
  <c r="BI197" i="2"/>
  <c r="BA197" i="2"/>
  <c r="AV197" i="2"/>
  <c r="AJ197" i="2"/>
  <c r="Z197" i="2"/>
  <c r="BI196" i="2"/>
  <c r="BA196" i="2"/>
  <c r="AV196" i="2"/>
  <c r="AJ196" i="2"/>
  <c r="Z196" i="2"/>
  <c r="BI195" i="2"/>
  <c r="BA195" i="2"/>
  <c r="AV195" i="2"/>
  <c r="AJ195" i="2"/>
  <c r="Z195" i="2"/>
  <c r="BI194" i="2"/>
  <c r="BA194" i="2"/>
  <c r="AV194" i="2"/>
  <c r="AJ194" i="2"/>
  <c r="Z194" i="2"/>
  <c r="BI193" i="2"/>
  <c r="BA193" i="2"/>
  <c r="AV193" i="2"/>
  <c r="AJ193" i="2"/>
  <c r="Z193" i="2"/>
  <c r="BI192" i="2"/>
  <c r="BA192" i="2"/>
  <c r="AV192" i="2"/>
  <c r="AJ192" i="2"/>
  <c r="Z192" i="2"/>
  <c r="BI191" i="2"/>
  <c r="BA191" i="2"/>
  <c r="AV191" i="2"/>
  <c r="AJ191" i="2"/>
  <c r="Z191" i="2"/>
  <c r="BI190" i="2"/>
  <c r="BA190" i="2"/>
  <c r="AV190" i="2"/>
  <c r="AJ190" i="2"/>
  <c r="Z190" i="2"/>
  <c r="BI189" i="2"/>
  <c r="BA189" i="2"/>
  <c r="AV189" i="2"/>
  <c r="AJ189" i="2"/>
  <c r="Z189" i="2"/>
  <c r="BI188" i="2"/>
  <c r="BA188" i="2"/>
  <c r="AV188" i="2"/>
  <c r="AJ188" i="2"/>
  <c r="Z188" i="2"/>
  <c r="BI187" i="2"/>
  <c r="BA187" i="2"/>
  <c r="AV187" i="2"/>
  <c r="AJ187" i="2"/>
  <c r="Z187" i="2"/>
  <c r="BI186" i="2"/>
  <c r="BA186" i="2"/>
  <c r="AV186" i="2"/>
  <c r="AJ186" i="2"/>
  <c r="Z186" i="2"/>
  <c r="BI185" i="2"/>
  <c r="BA185" i="2"/>
  <c r="AJ185" i="2"/>
  <c r="Z185" i="2"/>
  <c r="BI184" i="2"/>
  <c r="BA184" i="2"/>
  <c r="AJ184" i="2"/>
  <c r="Z184" i="2"/>
  <c r="BI183" i="2"/>
  <c r="BA183" i="2"/>
  <c r="AJ183" i="2"/>
  <c r="Z183" i="2"/>
  <c r="BI182" i="2"/>
  <c r="BA182" i="2"/>
  <c r="AJ182" i="2"/>
  <c r="Z182" i="2"/>
  <c r="BI181" i="2"/>
  <c r="BA181" i="2"/>
  <c r="AJ181" i="2"/>
  <c r="Z181" i="2"/>
  <c r="BI180" i="2"/>
  <c r="BA180" i="2"/>
  <c r="AJ180" i="2"/>
  <c r="Z180" i="2"/>
  <c r="BI179" i="2"/>
  <c r="BA179" i="2"/>
  <c r="AJ179" i="2"/>
  <c r="Z179" i="2"/>
  <c r="BI178" i="2"/>
  <c r="BA178" i="2"/>
  <c r="AJ178" i="2"/>
  <c r="Z178" i="2"/>
  <c r="BI177" i="2"/>
  <c r="BA177" i="2"/>
  <c r="AJ177" i="2"/>
  <c r="Z177" i="2"/>
  <c r="BI176" i="2"/>
  <c r="BA176" i="2"/>
  <c r="AJ176" i="2"/>
  <c r="Z176" i="2"/>
  <c r="BI175" i="2"/>
  <c r="BA175" i="2"/>
  <c r="AJ175" i="2"/>
  <c r="Z175" i="2"/>
  <c r="BI174" i="2"/>
  <c r="BA174" i="2"/>
  <c r="AJ174" i="2"/>
  <c r="Z174" i="2"/>
  <c r="BI173" i="2"/>
  <c r="BA173" i="2"/>
  <c r="AJ173" i="2"/>
  <c r="Z173" i="2"/>
  <c r="BI172" i="2"/>
  <c r="BA172" i="2"/>
  <c r="AJ172" i="2"/>
  <c r="Z172" i="2"/>
  <c r="BI171" i="2"/>
  <c r="BA171" i="2"/>
  <c r="AJ171" i="2"/>
  <c r="Z171" i="2"/>
  <c r="BI170" i="2"/>
  <c r="BA170" i="2"/>
  <c r="AJ170" i="2"/>
  <c r="Z170" i="2"/>
  <c r="BI169" i="2"/>
  <c r="BA169" i="2"/>
  <c r="AJ169" i="2"/>
  <c r="Z169" i="2"/>
  <c r="BI168" i="2"/>
  <c r="BA168" i="2"/>
  <c r="AJ168" i="2"/>
  <c r="Z168" i="2"/>
  <c r="BI167" i="2"/>
  <c r="BA167" i="2"/>
  <c r="AJ167" i="2"/>
  <c r="Z167" i="2"/>
  <c r="BI166" i="2"/>
  <c r="BA166" i="2"/>
  <c r="AJ166" i="2"/>
  <c r="Z166" i="2"/>
  <c r="BI165" i="2"/>
  <c r="BA165" i="2"/>
  <c r="AJ165" i="2"/>
  <c r="Z165" i="2"/>
  <c r="BI164" i="2"/>
  <c r="BA164" i="2"/>
  <c r="AJ164" i="2"/>
  <c r="Z164" i="2"/>
  <c r="BI163" i="2"/>
  <c r="BA163" i="2"/>
  <c r="AJ163" i="2"/>
  <c r="Z163" i="2"/>
  <c r="BI162" i="2"/>
  <c r="BA162" i="2"/>
  <c r="AJ162" i="2"/>
  <c r="Z162" i="2"/>
  <c r="BI161" i="2"/>
  <c r="BA161" i="2"/>
  <c r="AJ161" i="2"/>
  <c r="Z161" i="2"/>
  <c r="BI160" i="2"/>
  <c r="BA160" i="2"/>
  <c r="AJ160" i="2"/>
  <c r="Z160" i="2"/>
  <c r="BI159" i="2"/>
  <c r="BA159" i="2"/>
  <c r="AJ159" i="2"/>
  <c r="Z159" i="2"/>
  <c r="BI158" i="2"/>
  <c r="BA158" i="2"/>
  <c r="AJ158" i="2"/>
  <c r="Z158" i="2"/>
  <c r="BI157" i="2"/>
  <c r="BA157" i="2"/>
  <c r="AJ157" i="2"/>
  <c r="Z157" i="2"/>
  <c r="BI156" i="2"/>
  <c r="BA156" i="2"/>
  <c r="AJ156" i="2"/>
  <c r="Z156" i="2"/>
  <c r="BI155" i="2"/>
  <c r="BA155" i="2"/>
  <c r="AJ155" i="2"/>
  <c r="Z155" i="2"/>
  <c r="BI154" i="2"/>
  <c r="BA154" i="2"/>
  <c r="AJ154" i="2"/>
  <c r="Z154" i="2"/>
  <c r="BI153" i="2"/>
  <c r="BA153" i="2"/>
  <c r="AJ153" i="2"/>
  <c r="Z153" i="2"/>
  <c r="BI152" i="2"/>
  <c r="BA152" i="2"/>
  <c r="AJ152" i="2"/>
  <c r="Z152" i="2"/>
  <c r="BI151" i="2"/>
  <c r="BA151" i="2"/>
  <c r="AJ151" i="2"/>
  <c r="Z151" i="2"/>
  <c r="BI150" i="2"/>
  <c r="BA150" i="2"/>
  <c r="AJ150" i="2"/>
  <c r="Z150" i="2"/>
  <c r="BI149" i="2"/>
  <c r="BA149" i="2"/>
  <c r="AJ149" i="2"/>
  <c r="Z149" i="2"/>
  <c r="BI148" i="2"/>
  <c r="BA148" i="2"/>
  <c r="AJ148" i="2"/>
  <c r="Z148" i="2"/>
  <c r="BI147" i="2"/>
  <c r="BA147" i="2"/>
  <c r="AJ147" i="2"/>
  <c r="Z147" i="2"/>
  <c r="BI146" i="2"/>
  <c r="BA146" i="2"/>
  <c r="AJ146" i="2"/>
  <c r="Z146" i="2"/>
  <c r="BI145" i="2"/>
  <c r="BA145" i="2"/>
  <c r="AJ145" i="2"/>
  <c r="Z145" i="2"/>
  <c r="BI144" i="2"/>
  <c r="BA144" i="2"/>
  <c r="AJ144" i="2"/>
  <c r="Z144" i="2"/>
  <c r="BI143" i="2"/>
  <c r="BA143" i="2"/>
  <c r="AJ143" i="2"/>
  <c r="Z143" i="2"/>
  <c r="BI142" i="2"/>
  <c r="BA142" i="2"/>
  <c r="AJ142" i="2"/>
  <c r="Z142" i="2"/>
  <c r="BI141" i="2"/>
  <c r="BA141" i="2"/>
  <c r="AJ141" i="2"/>
  <c r="Z141" i="2"/>
  <c r="BI140" i="2"/>
  <c r="BA140" i="2"/>
  <c r="AJ140" i="2"/>
  <c r="Z140" i="2"/>
  <c r="BI139" i="2"/>
  <c r="BA139" i="2"/>
  <c r="AV139" i="2"/>
  <c r="AJ139" i="2"/>
  <c r="Z139" i="2"/>
  <c r="BI138" i="2"/>
  <c r="BA138" i="2"/>
  <c r="AV138" i="2"/>
  <c r="AJ138" i="2"/>
  <c r="Z138" i="2"/>
  <c r="BI137" i="2"/>
  <c r="BA137" i="2"/>
  <c r="AV137" i="2"/>
  <c r="AJ137" i="2"/>
  <c r="Z137" i="2"/>
  <c r="BI136" i="2"/>
  <c r="BA136" i="2"/>
  <c r="AV136" i="2"/>
  <c r="AJ136" i="2"/>
  <c r="Z136" i="2"/>
  <c r="BI135" i="2"/>
  <c r="BA135" i="2"/>
  <c r="AV135" i="2"/>
  <c r="AJ135" i="2"/>
  <c r="Z135" i="2"/>
  <c r="BI134" i="2"/>
  <c r="BA134" i="2"/>
  <c r="AV134" i="2"/>
  <c r="AJ134" i="2"/>
  <c r="Z134" i="2"/>
  <c r="BI133" i="2"/>
  <c r="BA133" i="2"/>
  <c r="AV133" i="2"/>
  <c r="AJ133" i="2"/>
  <c r="Z133" i="2"/>
  <c r="BI132" i="2"/>
  <c r="BA132" i="2"/>
  <c r="AV132" i="2"/>
  <c r="AJ132" i="2"/>
  <c r="Z132" i="2"/>
  <c r="BI131" i="2"/>
  <c r="BA131" i="2"/>
  <c r="AV131" i="2"/>
  <c r="AJ131" i="2"/>
  <c r="Z131" i="2"/>
  <c r="BI130" i="2"/>
  <c r="BA130" i="2"/>
  <c r="AV130" i="2"/>
  <c r="AJ130" i="2"/>
  <c r="Z130" i="2"/>
  <c r="BI129" i="2"/>
  <c r="BA129" i="2"/>
  <c r="AV129" i="2"/>
  <c r="AJ129" i="2"/>
  <c r="Z129" i="2"/>
  <c r="BI128" i="2"/>
  <c r="BA128" i="2"/>
  <c r="AJ128" i="2"/>
  <c r="Z128" i="2"/>
  <c r="BI127" i="2"/>
  <c r="BA127" i="2"/>
  <c r="AJ127" i="2"/>
  <c r="Z127" i="2"/>
  <c r="BI126" i="2"/>
  <c r="BA126" i="2"/>
  <c r="AJ126" i="2"/>
  <c r="Z126" i="2"/>
  <c r="BI125" i="2"/>
  <c r="BA125" i="2"/>
  <c r="AJ125" i="2"/>
  <c r="Z125" i="2"/>
  <c r="BI124" i="2"/>
  <c r="BA124" i="2"/>
  <c r="AJ124" i="2"/>
  <c r="Z124" i="2"/>
  <c r="BI123" i="2"/>
  <c r="BA123" i="2"/>
  <c r="AJ123" i="2"/>
  <c r="Z123" i="2"/>
  <c r="BI122" i="2"/>
  <c r="BA122" i="2"/>
  <c r="AJ122" i="2"/>
  <c r="Z122" i="2"/>
  <c r="BI121" i="2"/>
  <c r="BA121" i="2"/>
  <c r="AJ121" i="2"/>
  <c r="Z121" i="2"/>
  <c r="BI120" i="2"/>
  <c r="BA120" i="2"/>
  <c r="AJ120" i="2"/>
  <c r="Z120" i="2"/>
  <c r="BI119" i="2"/>
  <c r="BA119" i="2"/>
  <c r="AJ119" i="2"/>
  <c r="Z119" i="2"/>
  <c r="BI118" i="2"/>
  <c r="BA118" i="2"/>
  <c r="AJ118" i="2"/>
  <c r="Z118" i="2"/>
  <c r="BI117" i="2"/>
  <c r="BA117" i="2"/>
  <c r="AJ117" i="2"/>
  <c r="Z117" i="2"/>
  <c r="BI116" i="2"/>
  <c r="BA116" i="2"/>
  <c r="AJ116" i="2"/>
  <c r="Z116" i="2"/>
  <c r="BI115" i="2"/>
  <c r="BA115" i="2"/>
  <c r="AJ115" i="2"/>
  <c r="Z115" i="2"/>
  <c r="BI114" i="2"/>
  <c r="BA114" i="2"/>
  <c r="AJ114" i="2"/>
  <c r="Z114" i="2"/>
  <c r="BI113" i="2"/>
  <c r="BA113" i="2"/>
  <c r="AJ113" i="2"/>
  <c r="Z113" i="2"/>
  <c r="BI112" i="2"/>
  <c r="BA112" i="2"/>
  <c r="AJ112" i="2"/>
  <c r="Z112" i="2"/>
  <c r="BI111" i="2"/>
  <c r="BA111" i="2"/>
  <c r="AJ111" i="2"/>
  <c r="Z111" i="2"/>
  <c r="BI110" i="2"/>
  <c r="BA110" i="2"/>
  <c r="AJ110" i="2"/>
  <c r="Z110" i="2"/>
  <c r="BI109" i="2"/>
  <c r="BA109" i="2"/>
  <c r="AJ109" i="2"/>
  <c r="Z109" i="2"/>
  <c r="BI108" i="2"/>
  <c r="BA108" i="2"/>
  <c r="AJ108" i="2"/>
  <c r="Z108" i="2"/>
  <c r="BI107" i="2"/>
  <c r="BA107" i="2"/>
  <c r="AJ107" i="2"/>
  <c r="Z107" i="2"/>
  <c r="BI106" i="2"/>
  <c r="BA106" i="2"/>
  <c r="AJ106" i="2"/>
  <c r="Z106" i="2"/>
  <c r="BI105" i="2"/>
  <c r="BA105" i="2"/>
  <c r="AJ105" i="2"/>
  <c r="Z105" i="2"/>
  <c r="BI104" i="2"/>
  <c r="BA104" i="2"/>
  <c r="AJ104" i="2"/>
  <c r="Z104" i="2"/>
  <c r="BI103" i="2"/>
  <c r="BA103" i="2"/>
  <c r="AJ103" i="2"/>
  <c r="Z103" i="2"/>
  <c r="BI102" i="2"/>
  <c r="BA102" i="2"/>
  <c r="AJ102" i="2"/>
  <c r="Z102" i="2"/>
  <c r="BI101" i="2"/>
  <c r="BA101" i="2"/>
  <c r="AJ101" i="2"/>
  <c r="Z101" i="2"/>
  <c r="BI100" i="2"/>
  <c r="BA100" i="2"/>
  <c r="AJ100" i="2"/>
  <c r="Z100" i="2"/>
  <c r="BI99" i="2"/>
  <c r="BA99" i="2"/>
  <c r="AJ99" i="2"/>
  <c r="Z99" i="2"/>
  <c r="BI98" i="2"/>
  <c r="BA98" i="2"/>
  <c r="AJ98" i="2"/>
  <c r="Z98" i="2"/>
  <c r="BI97" i="2"/>
  <c r="BA97" i="2"/>
  <c r="AJ97" i="2"/>
  <c r="Z97" i="2"/>
  <c r="BI96" i="2"/>
  <c r="BA96" i="2"/>
  <c r="AJ96" i="2"/>
  <c r="Z96" i="2"/>
  <c r="BI95" i="2"/>
  <c r="BA95" i="2"/>
  <c r="AJ95" i="2"/>
  <c r="Z95" i="2"/>
  <c r="BI94" i="2"/>
  <c r="BA94" i="2"/>
  <c r="AJ94" i="2"/>
  <c r="Z94" i="2"/>
  <c r="BI93" i="2"/>
  <c r="BA93" i="2"/>
  <c r="AJ93" i="2"/>
  <c r="Z93" i="2"/>
  <c r="BI92" i="2"/>
  <c r="BA92" i="2"/>
  <c r="AJ92" i="2"/>
  <c r="Z92" i="2"/>
  <c r="BI91" i="2"/>
  <c r="BA91" i="2"/>
  <c r="AJ91" i="2"/>
  <c r="Z91" i="2"/>
  <c r="BI90" i="2"/>
  <c r="BA90" i="2"/>
  <c r="AJ90" i="2"/>
  <c r="Z90" i="2"/>
  <c r="BI89" i="2"/>
  <c r="BA89" i="2"/>
  <c r="AJ89" i="2"/>
  <c r="Z89" i="2"/>
  <c r="BI88" i="2"/>
  <c r="BA88" i="2"/>
  <c r="AJ88" i="2"/>
  <c r="Z88" i="2"/>
  <c r="BI87" i="2"/>
  <c r="BA87" i="2"/>
  <c r="AJ87" i="2"/>
  <c r="Z87" i="2"/>
  <c r="BI86" i="2"/>
  <c r="BA86" i="2"/>
  <c r="AJ86" i="2"/>
  <c r="Z86" i="2"/>
  <c r="BI85" i="2"/>
  <c r="BA85" i="2"/>
  <c r="AJ85" i="2"/>
  <c r="Z85" i="2"/>
  <c r="BI84" i="2"/>
  <c r="BA84" i="2"/>
  <c r="AJ84" i="2"/>
  <c r="Z84" i="2"/>
  <c r="BI83" i="2"/>
  <c r="BA83" i="2"/>
  <c r="AJ83" i="2"/>
  <c r="Z83" i="2"/>
  <c r="BI82" i="2"/>
  <c r="BA82" i="2"/>
  <c r="AJ82" i="2"/>
  <c r="Z82" i="2"/>
  <c r="BI81" i="2"/>
  <c r="BA81" i="2"/>
  <c r="AJ81" i="2"/>
  <c r="Z81" i="2"/>
  <c r="BI80" i="2"/>
  <c r="BA80" i="2"/>
  <c r="AJ80" i="2"/>
  <c r="Z80" i="2"/>
  <c r="BI79" i="2"/>
  <c r="BA79" i="2"/>
  <c r="AJ79" i="2"/>
  <c r="Z79" i="2"/>
  <c r="BI78" i="2"/>
  <c r="BA78" i="2"/>
  <c r="AJ78" i="2"/>
  <c r="Z78" i="2"/>
  <c r="BI77" i="2"/>
  <c r="BA77" i="2"/>
  <c r="AJ77" i="2"/>
  <c r="Z77" i="2"/>
  <c r="BI76" i="2"/>
  <c r="BA76" i="2"/>
  <c r="AJ76" i="2"/>
  <c r="Z76" i="2"/>
  <c r="BI75" i="2"/>
  <c r="BA75" i="2"/>
  <c r="AJ75" i="2"/>
  <c r="Z75" i="2"/>
  <c r="BI74" i="2"/>
  <c r="BA74" i="2"/>
  <c r="AJ74" i="2"/>
  <c r="Z74" i="2"/>
  <c r="BI73" i="2"/>
  <c r="BA73" i="2"/>
  <c r="AJ73" i="2"/>
  <c r="Z73" i="2"/>
  <c r="BI72" i="2"/>
  <c r="BA72" i="2"/>
  <c r="AJ72" i="2"/>
  <c r="Z72" i="2"/>
  <c r="BI71" i="2"/>
  <c r="BA71" i="2"/>
  <c r="AJ71" i="2"/>
  <c r="Z71" i="2"/>
  <c r="BI70" i="2"/>
  <c r="BA70" i="2"/>
  <c r="AJ70" i="2"/>
  <c r="Z70" i="2"/>
  <c r="BI69" i="2"/>
  <c r="BA69" i="2"/>
  <c r="AJ69" i="2"/>
  <c r="Z69" i="2"/>
  <c r="BI68" i="2"/>
  <c r="BA68" i="2"/>
  <c r="AJ68" i="2"/>
  <c r="Z68" i="2"/>
  <c r="BI67" i="2"/>
  <c r="BA67" i="2"/>
  <c r="AJ67" i="2"/>
  <c r="Z67" i="2"/>
  <c r="BI66" i="2"/>
  <c r="BA66" i="2"/>
  <c r="AJ66" i="2"/>
  <c r="Z66" i="2"/>
  <c r="BI65" i="2"/>
  <c r="BA65" i="2"/>
  <c r="AJ65" i="2"/>
  <c r="Z65" i="2"/>
  <c r="BI64" i="2"/>
  <c r="BA64" i="2"/>
  <c r="AJ64" i="2"/>
  <c r="Z64" i="2"/>
  <c r="BI63" i="2"/>
  <c r="BA63" i="2"/>
  <c r="AJ63" i="2"/>
  <c r="Z63" i="2"/>
  <c r="BI62" i="2"/>
  <c r="BA62" i="2"/>
  <c r="AJ62" i="2"/>
  <c r="Z62" i="2"/>
  <c r="BI61" i="2"/>
  <c r="BA61" i="2"/>
  <c r="AJ61" i="2"/>
  <c r="Z61" i="2"/>
  <c r="BI60" i="2"/>
  <c r="BA60" i="2"/>
  <c r="AJ60" i="2"/>
  <c r="Z60" i="2"/>
  <c r="BI59" i="2"/>
  <c r="BA59" i="2"/>
  <c r="AJ59" i="2"/>
  <c r="Z59" i="2"/>
  <c r="BI58" i="2"/>
  <c r="BA58" i="2"/>
  <c r="AJ58" i="2"/>
  <c r="Z58" i="2"/>
  <c r="BI57" i="2"/>
  <c r="BA57" i="2"/>
  <c r="AJ57" i="2"/>
  <c r="Z57" i="2"/>
  <c r="BI56" i="2"/>
  <c r="BA56" i="2"/>
  <c r="AJ56" i="2"/>
  <c r="Z56" i="2"/>
  <c r="BI55" i="2"/>
  <c r="BA55" i="2"/>
  <c r="AJ55" i="2"/>
  <c r="Z55" i="2"/>
  <c r="BI54" i="2"/>
  <c r="BA54" i="2"/>
  <c r="AJ54" i="2"/>
  <c r="Z54" i="2"/>
  <c r="BI53" i="2"/>
  <c r="BA53" i="2"/>
  <c r="AJ53" i="2"/>
  <c r="Z53" i="2"/>
  <c r="BI52" i="2"/>
  <c r="BA52" i="2"/>
  <c r="AJ52" i="2"/>
  <c r="Z52" i="2"/>
  <c r="BI51" i="2"/>
  <c r="BA51" i="2"/>
  <c r="AJ51" i="2"/>
  <c r="Z51" i="2"/>
  <c r="BI50" i="2"/>
  <c r="BA50" i="2"/>
  <c r="AJ50" i="2"/>
  <c r="Z50" i="2"/>
  <c r="BI49" i="2"/>
  <c r="BA49" i="2"/>
  <c r="AJ49" i="2"/>
  <c r="Z49" i="2"/>
  <c r="BI48" i="2"/>
  <c r="BA48" i="2"/>
  <c r="AJ48" i="2"/>
  <c r="Z48" i="2"/>
  <c r="BI47" i="2"/>
  <c r="BA47" i="2"/>
  <c r="AJ47" i="2"/>
  <c r="Z47" i="2"/>
  <c r="BI46" i="2"/>
  <c r="BA46" i="2"/>
  <c r="AJ46" i="2"/>
  <c r="Z46" i="2"/>
  <c r="BI45" i="2"/>
  <c r="BA45" i="2"/>
  <c r="AJ45" i="2"/>
  <c r="Z45" i="2"/>
  <c r="BI44" i="2"/>
  <c r="BA44" i="2"/>
  <c r="AJ44" i="2"/>
  <c r="Z44" i="2"/>
  <c r="BI43" i="2"/>
  <c r="BA43" i="2"/>
  <c r="AJ43" i="2"/>
  <c r="Z43" i="2"/>
  <c r="BI42" i="2"/>
  <c r="BA42" i="2"/>
  <c r="AJ42" i="2"/>
  <c r="Z42" i="2"/>
  <c r="BI41" i="2"/>
  <c r="BA41" i="2"/>
  <c r="AJ41" i="2"/>
  <c r="Z41" i="2"/>
  <c r="BI40" i="2"/>
  <c r="BA40" i="2"/>
  <c r="AJ40" i="2"/>
  <c r="Z40" i="2"/>
  <c r="BI39" i="2"/>
  <c r="BA39" i="2"/>
  <c r="AJ39" i="2"/>
  <c r="Z39" i="2"/>
  <c r="BI38" i="2"/>
  <c r="BA38" i="2"/>
  <c r="AJ38" i="2"/>
  <c r="Z38" i="2"/>
  <c r="BI37" i="2"/>
  <c r="BA37" i="2"/>
  <c r="AJ37" i="2"/>
  <c r="Z37" i="2"/>
  <c r="BI36" i="2"/>
  <c r="BA36" i="2"/>
  <c r="AJ36" i="2"/>
  <c r="Z36" i="2"/>
  <c r="BI35" i="2"/>
  <c r="BA35" i="2"/>
  <c r="AJ35" i="2"/>
  <c r="Z35" i="2"/>
  <c r="BI34" i="2"/>
  <c r="BA34" i="2"/>
  <c r="AJ34" i="2"/>
  <c r="Z34" i="2"/>
  <c r="BI33" i="2"/>
  <c r="BA33" i="2"/>
  <c r="AJ33" i="2"/>
  <c r="Z33" i="2"/>
  <c r="BI32" i="2"/>
  <c r="BA32" i="2"/>
  <c r="AJ32" i="2"/>
  <c r="Z32" i="2"/>
  <c r="BI31" i="2"/>
  <c r="BA31" i="2"/>
  <c r="AJ31" i="2"/>
  <c r="Z31" i="2"/>
  <c r="BI30" i="2"/>
  <c r="BA30" i="2"/>
  <c r="AJ30" i="2"/>
  <c r="Z30" i="2"/>
  <c r="BI29" i="2"/>
  <c r="BA29" i="2"/>
  <c r="AJ29" i="2"/>
  <c r="Z29" i="2"/>
  <c r="BI28" i="2"/>
  <c r="BA28" i="2"/>
  <c r="AJ28" i="2"/>
  <c r="Z28" i="2"/>
  <c r="BI27" i="2"/>
  <c r="BA27" i="2"/>
  <c r="AJ27" i="2"/>
  <c r="Z27" i="2"/>
  <c r="BI26" i="2"/>
  <c r="BA26" i="2"/>
  <c r="AJ26" i="2"/>
  <c r="Z26" i="2"/>
  <c r="BI25" i="2"/>
  <c r="BA25" i="2"/>
  <c r="AJ25" i="2"/>
  <c r="Z25" i="2"/>
  <c r="BI24" i="2"/>
  <c r="BA24" i="2"/>
  <c r="AJ24" i="2"/>
  <c r="Z24" i="2"/>
  <c r="BI23" i="2"/>
  <c r="BA23" i="2"/>
  <c r="AJ23" i="2"/>
  <c r="Z23" i="2"/>
  <c r="BI22" i="2"/>
  <c r="BA22" i="2"/>
  <c r="AJ22" i="2"/>
  <c r="Z22" i="2"/>
  <c r="BI21" i="2"/>
  <c r="BA21" i="2"/>
  <c r="AJ21" i="2"/>
  <c r="Z21" i="2"/>
  <c r="BI20" i="2"/>
  <c r="BA20" i="2"/>
  <c r="AJ20" i="2"/>
  <c r="Z20" i="2"/>
  <c r="BI19" i="2"/>
  <c r="BA19" i="2"/>
  <c r="AJ19" i="2"/>
  <c r="Z19" i="2"/>
  <c r="BI18" i="2"/>
  <c r="BA18" i="2"/>
  <c r="AJ18" i="2"/>
  <c r="Z18" i="2"/>
  <c r="BI17" i="2"/>
  <c r="BA17" i="2"/>
  <c r="AJ17" i="2"/>
  <c r="Z17" i="2"/>
  <c r="BI16" i="2"/>
  <c r="BA16" i="2"/>
  <c r="AJ16" i="2"/>
  <c r="Z16" i="2"/>
  <c r="BI15" i="2"/>
  <c r="BA15" i="2"/>
  <c r="AJ15" i="2"/>
  <c r="Z15" i="2"/>
  <c r="BI14" i="2"/>
  <c r="BA14" i="2"/>
  <c r="AJ14" i="2"/>
  <c r="Z14" i="2"/>
  <c r="BI13" i="2"/>
  <c r="BA13" i="2"/>
  <c r="AJ13" i="2"/>
  <c r="Z13" i="2"/>
  <c r="BI12" i="2"/>
  <c r="BA12" i="2"/>
  <c r="AJ12" i="2"/>
  <c r="Z12" i="2"/>
  <c r="BI11" i="2"/>
  <c r="BA11" i="2"/>
  <c r="AJ11" i="2"/>
  <c r="Z11" i="2"/>
  <c r="BI10" i="2"/>
  <c r="BA10" i="2"/>
  <c r="AJ10" i="2"/>
  <c r="Z10" i="2"/>
  <c r="BI9" i="2"/>
  <c r="BA9" i="2"/>
  <c r="AJ9" i="2"/>
  <c r="Z9" i="2"/>
  <c r="BI8" i="2"/>
  <c r="BA8" i="2"/>
  <c r="AJ8" i="2"/>
  <c r="Z8" i="2"/>
  <c r="BI7" i="2"/>
  <c r="BA7" i="2"/>
  <c r="AJ7" i="2"/>
  <c r="Z7" i="2"/>
  <c r="BI6" i="2"/>
  <c r="BA6" i="2"/>
  <c r="AJ6" i="2"/>
  <c r="Z6" i="2"/>
  <c r="BI5" i="2"/>
  <c r="BA5" i="2"/>
  <c r="AJ5" i="2"/>
  <c r="Z5" i="2"/>
  <c r="BI4" i="2"/>
  <c r="BA4" i="2"/>
  <c r="AJ4" i="2"/>
  <c r="Z4" i="2"/>
  <c r="BI3" i="2"/>
  <c r="BA3" i="2"/>
  <c r="AJ3" i="2"/>
  <c r="Z3" i="2"/>
  <c r="BI2" i="2"/>
  <c r="BA2" i="2"/>
  <c r="AJ2" i="2"/>
  <c r="Z2" i="2"/>
  <c r="BY18" i="1" l="1"/>
  <c r="BX3" i="1"/>
  <c r="CD3" i="1" s="1"/>
  <c r="BY3" i="1"/>
  <c r="BZ3" i="1"/>
  <c r="CA3" i="1"/>
  <c r="CB3" i="1"/>
  <c r="CC3" i="1"/>
  <c r="BX4" i="1"/>
  <c r="BY4" i="1"/>
  <c r="BZ4" i="1"/>
  <c r="CA4" i="1"/>
  <c r="CB4" i="1"/>
  <c r="CC4" i="1"/>
  <c r="BX5" i="1"/>
  <c r="BY5" i="1"/>
  <c r="BZ5" i="1"/>
  <c r="CA5" i="1"/>
  <c r="CB5" i="1"/>
  <c r="CC5" i="1"/>
  <c r="BX6" i="1"/>
  <c r="CD6" i="1" s="1"/>
  <c r="BY6" i="1"/>
  <c r="BZ6" i="1"/>
  <c r="CA6" i="1"/>
  <c r="CB6" i="1"/>
  <c r="CC6" i="1"/>
  <c r="BX7" i="1"/>
  <c r="BY7" i="1"/>
  <c r="BZ7" i="1"/>
  <c r="CA7" i="1"/>
  <c r="CB7" i="1"/>
  <c r="CC7" i="1"/>
  <c r="CD7" i="1" s="1"/>
  <c r="BX8" i="1"/>
  <c r="CD8" i="1" s="1"/>
  <c r="BY8" i="1"/>
  <c r="BZ8" i="1"/>
  <c r="CA8" i="1"/>
  <c r="CB8" i="1"/>
  <c r="CC8" i="1"/>
  <c r="BX9" i="1"/>
  <c r="BY9" i="1"/>
  <c r="BZ9" i="1"/>
  <c r="CA9" i="1"/>
  <c r="CB9" i="1"/>
  <c r="CC9" i="1"/>
  <c r="BX10" i="1"/>
  <c r="CD10" i="1" s="1"/>
  <c r="BY10" i="1"/>
  <c r="BZ10" i="1"/>
  <c r="CA10" i="1"/>
  <c r="CB10" i="1"/>
  <c r="CC10" i="1"/>
  <c r="BX11" i="1"/>
  <c r="BY11" i="1"/>
  <c r="BZ11" i="1"/>
  <c r="CA11" i="1"/>
  <c r="CB11" i="1"/>
  <c r="CC11" i="1"/>
  <c r="BX12" i="1"/>
  <c r="BY12" i="1"/>
  <c r="BZ12" i="1"/>
  <c r="CA12" i="1"/>
  <c r="CB12" i="1"/>
  <c r="CC12" i="1"/>
  <c r="BX13" i="1"/>
  <c r="BY13" i="1"/>
  <c r="BZ13" i="1"/>
  <c r="CA13" i="1"/>
  <c r="CB13" i="1"/>
  <c r="CC13" i="1"/>
  <c r="BX14" i="1"/>
  <c r="BY14" i="1"/>
  <c r="BZ14" i="1"/>
  <c r="CA14" i="1"/>
  <c r="CB14" i="1"/>
  <c r="CC14" i="1"/>
  <c r="BX15" i="1"/>
  <c r="BY15" i="1"/>
  <c r="BZ15" i="1"/>
  <c r="CA15" i="1"/>
  <c r="CB15" i="1"/>
  <c r="CC15" i="1"/>
  <c r="BX16" i="1"/>
  <c r="BY16" i="1"/>
  <c r="BZ16" i="1"/>
  <c r="CA16" i="1"/>
  <c r="CB16" i="1"/>
  <c r="CC16" i="1"/>
  <c r="BX17" i="1"/>
  <c r="BY17" i="1"/>
  <c r="BZ17" i="1"/>
  <c r="CA17" i="1"/>
  <c r="CB17" i="1"/>
  <c r="CC17" i="1"/>
  <c r="CD17" i="1" s="1"/>
  <c r="BX18" i="1"/>
  <c r="CD18" i="1" s="1"/>
  <c r="BZ18" i="1"/>
  <c r="CA18" i="1"/>
  <c r="CB18" i="1"/>
  <c r="CC18" i="1"/>
  <c r="BX19" i="1"/>
  <c r="BY19" i="1"/>
  <c r="BZ19" i="1"/>
  <c r="CA19" i="1"/>
  <c r="CB19" i="1"/>
  <c r="CC19" i="1"/>
  <c r="BX20" i="1"/>
  <c r="BY20" i="1"/>
  <c r="BZ20" i="1"/>
  <c r="CA20" i="1"/>
  <c r="CB20" i="1"/>
  <c r="CC20" i="1"/>
  <c r="BX21" i="1"/>
  <c r="BY21" i="1"/>
  <c r="BZ21" i="1"/>
  <c r="CA21" i="1"/>
  <c r="CB21" i="1"/>
  <c r="CC21" i="1"/>
  <c r="BX22" i="1"/>
  <c r="BY22" i="1"/>
  <c r="BZ22" i="1"/>
  <c r="CA22" i="1"/>
  <c r="CB22" i="1"/>
  <c r="CC22" i="1"/>
  <c r="BX23" i="1"/>
  <c r="BY23" i="1"/>
  <c r="CD23" i="1" s="1"/>
  <c r="BZ23" i="1"/>
  <c r="CA23" i="1"/>
  <c r="CB23" i="1"/>
  <c r="CC23" i="1"/>
  <c r="BY66" i="1"/>
  <c r="BX66" i="1"/>
  <c r="CE2" i="1"/>
  <c r="CD5" i="1"/>
  <c r="CD13" i="1"/>
  <c r="CD15" i="1"/>
  <c r="BX24" i="1"/>
  <c r="BY24" i="1"/>
  <c r="BZ24" i="1"/>
  <c r="CA24" i="1"/>
  <c r="CB24" i="1"/>
  <c r="CD24" i="1" s="1"/>
  <c r="CC24" i="1"/>
  <c r="BX25" i="1"/>
  <c r="BY25" i="1"/>
  <c r="BZ25" i="1"/>
  <c r="CA25" i="1"/>
  <c r="CB25" i="1"/>
  <c r="CC25" i="1"/>
  <c r="BX26" i="1"/>
  <c r="BY26" i="1"/>
  <c r="CD26" i="1" s="1"/>
  <c r="BZ26" i="1"/>
  <c r="CA26" i="1"/>
  <c r="CB26" i="1"/>
  <c r="CC26" i="1"/>
  <c r="BX27" i="1"/>
  <c r="BY27" i="1"/>
  <c r="BZ27" i="1"/>
  <c r="CA27" i="1"/>
  <c r="CB27" i="1"/>
  <c r="CC27" i="1"/>
  <c r="BX28" i="1"/>
  <c r="BY28" i="1"/>
  <c r="BZ28" i="1"/>
  <c r="CA28" i="1"/>
  <c r="CB28" i="1"/>
  <c r="CC28" i="1"/>
  <c r="BX29" i="1"/>
  <c r="BY29" i="1"/>
  <c r="BZ29" i="1"/>
  <c r="CD29" i="1" s="1"/>
  <c r="CA29" i="1"/>
  <c r="CB29" i="1"/>
  <c r="CC29" i="1"/>
  <c r="BX30" i="1"/>
  <c r="BY30" i="1"/>
  <c r="BZ30" i="1"/>
  <c r="CA30" i="1"/>
  <c r="CB30" i="1"/>
  <c r="CC30" i="1"/>
  <c r="BX31" i="1"/>
  <c r="BY31" i="1"/>
  <c r="CD31" i="1" s="1"/>
  <c r="BZ31" i="1"/>
  <c r="CA31" i="1"/>
  <c r="CB31" i="1"/>
  <c r="CC31" i="1"/>
  <c r="BX32" i="1"/>
  <c r="BY32" i="1"/>
  <c r="BZ32" i="1"/>
  <c r="CA32" i="1"/>
  <c r="CB32" i="1"/>
  <c r="CC32" i="1"/>
  <c r="BX33" i="1"/>
  <c r="BY33" i="1"/>
  <c r="BZ33" i="1"/>
  <c r="CA33" i="1"/>
  <c r="CB33" i="1"/>
  <c r="CC33" i="1"/>
  <c r="BX34" i="1"/>
  <c r="BY34" i="1"/>
  <c r="BZ34" i="1"/>
  <c r="CA34" i="1"/>
  <c r="CB34" i="1"/>
  <c r="CC34" i="1"/>
  <c r="BX35" i="1"/>
  <c r="BY35" i="1"/>
  <c r="BZ35" i="1"/>
  <c r="CA35" i="1"/>
  <c r="CB35" i="1"/>
  <c r="CC35" i="1"/>
  <c r="BX36" i="1"/>
  <c r="BY36" i="1"/>
  <c r="BZ36" i="1"/>
  <c r="CA36" i="1"/>
  <c r="CB36" i="1"/>
  <c r="CC36" i="1"/>
  <c r="BX37" i="1"/>
  <c r="BY37" i="1"/>
  <c r="BZ37" i="1"/>
  <c r="CA37" i="1"/>
  <c r="CB37" i="1"/>
  <c r="CC37" i="1"/>
  <c r="BX38" i="1"/>
  <c r="BY38" i="1"/>
  <c r="BZ38" i="1"/>
  <c r="CA38" i="1"/>
  <c r="CD38" i="1" s="1"/>
  <c r="CB38" i="1"/>
  <c r="CC38" i="1"/>
  <c r="BX39" i="1"/>
  <c r="BY39" i="1"/>
  <c r="BZ39" i="1"/>
  <c r="CA39" i="1"/>
  <c r="CB39" i="1"/>
  <c r="CC39" i="1"/>
  <c r="BX40" i="1"/>
  <c r="BY40" i="1"/>
  <c r="BZ40" i="1"/>
  <c r="CA40" i="1"/>
  <c r="CB40" i="1"/>
  <c r="CC40" i="1"/>
  <c r="BX41" i="1"/>
  <c r="CD41" i="1" s="1"/>
  <c r="BY41" i="1"/>
  <c r="BZ41" i="1"/>
  <c r="CA41" i="1"/>
  <c r="CB41" i="1"/>
  <c r="CC41" i="1"/>
  <c r="BX42" i="1"/>
  <c r="BY42" i="1"/>
  <c r="BZ42" i="1"/>
  <c r="CA42" i="1"/>
  <c r="CB42" i="1"/>
  <c r="CC42" i="1"/>
  <c r="BX43" i="1"/>
  <c r="CD43" i="1" s="1"/>
  <c r="BY43" i="1"/>
  <c r="BZ43" i="1"/>
  <c r="CA43" i="1"/>
  <c r="CB43" i="1"/>
  <c r="CC43" i="1"/>
  <c r="BX44" i="1"/>
  <c r="CD44" i="1" s="1"/>
  <c r="BY44" i="1"/>
  <c r="BZ44" i="1"/>
  <c r="CA44" i="1"/>
  <c r="CB44" i="1"/>
  <c r="CC44" i="1"/>
  <c r="BX45" i="1"/>
  <c r="BY45" i="1"/>
  <c r="BZ45" i="1"/>
  <c r="CA45" i="1"/>
  <c r="CB45" i="1"/>
  <c r="CC45" i="1"/>
  <c r="BX46" i="1"/>
  <c r="BY46" i="1"/>
  <c r="BZ46" i="1"/>
  <c r="CA46" i="1"/>
  <c r="CD46" i="1" s="1"/>
  <c r="CB46" i="1"/>
  <c r="CC46" i="1"/>
  <c r="BX47" i="1"/>
  <c r="BY47" i="1"/>
  <c r="BZ47" i="1"/>
  <c r="CA47" i="1"/>
  <c r="CB47" i="1"/>
  <c r="CC47" i="1"/>
  <c r="BX48" i="1"/>
  <c r="BY48" i="1"/>
  <c r="BZ48" i="1"/>
  <c r="CA48" i="1"/>
  <c r="CB48" i="1"/>
  <c r="CC48" i="1"/>
  <c r="BX49" i="1"/>
  <c r="BY49" i="1"/>
  <c r="BZ49" i="1"/>
  <c r="CA49" i="1"/>
  <c r="CB49" i="1"/>
  <c r="CC49" i="1"/>
  <c r="BX50" i="1"/>
  <c r="BY50" i="1"/>
  <c r="BZ50" i="1"/>
  <c r="CD50" i="1" s="1"/>
  <c r="CA50" i="1"/>
  <c r="CB50" i="1"/>
  <c r="CC50" i="1"/>
  <c r="BX51" i="1"/>
  <c r="BY51" i="1"/>
  <c r="BZ51" i="1"/>
  <c r="CA51" i="1"/>
  <c r="CB51" i="1"/>
  <c r="CC51" i="1"/>
  <c r="BX52" i="1"/>
  <c r="BY52" i="1"/>
  <c r="BZ52" i="1"/>
  <c r="CA52" i="1"/>
  <c r="CB52" i="1"/>
  <c r="CC52" i="1"/>
  <c r="BX53" i="1"/>
  <c r="BY53" i="1"/>
  <c r="BZ53" i="1"/>
  <c r="CA53" i="1"/>
  <c r="CD53" i="1" s="1"/>
  <c r="CB53" i="1"/>
  <c r="CC53" i="1"/>
  <c r="BX54" i="1"/>
  <c r="BY54" i="1"/>
  <c r="BZ54" i="1"/>
  <c r="CA54" i="1"/>
  <c r="CB54" i="1"/>
  <c r="CC54" i="1"/>
  <c r="BX55" i="1"/>
  <c r="BY55" i="1"/>
  <c r="BZ55" i="1"/>
  <c r="CA55" i="1"/>
  <c r="CD55" i="1" s="1"/>
  <c r="CB55" i="1"/>
  <c r="CC55" i="1"/>
  <c r="BX56" i="1"/>
  <c r="BY56" i="1"/>
  <c r="BZ56" i="1"/>
  <c r="CA56" i="1"/>
  <c r="CB56" i="1"/>
  <c r="CC56" i="1"/>
  <c r="BX57" i="1"/>
  <c r="BY57" i="1"/>
  <c r="BZ57" i="1"/>
  <c r="CA57" i="1"/>
  <c r="CB57" i="1"/>
  <c r="CC57" i="1"/>
  <c r="BX58" i="1"/>
  <c r="BY58" i="1"/>
  <c r="BZ58" i="1"/>
  <c r="CA58" i="1"/>
  <c r="CB58" i="1"/>
  <c r="CC58" i="1"/>
  <c r="BX59" i="1"/>
  <c r="BY59" i="1"/>
  <c r="BZ59" i="1"/>
  <c r="CA59" i="1"/>
  <c r="CB59" i="1"/>
  <c r="CC59" i="1"/>
  <c r="BX60" i="1"/>
  <c r="CD60" i="1" s="1"/>
  <c r="BY60" i="1"/>
  <c r="BZ60" i="1"/>
  <c r="CA60" i="1"/>
  <c r="CB60" i="1"/>
  <c r="CC60" i="1"/>
  <c r="BX61" i="1"/>
  <c r="BY61" i="1"/>
  <c r="BZ61" i="1"/>
  <c r="CA61" i="1"/>
  <c r="CB61" i="1"/>
  <c r="CC61" i="1"/>
  <c r="BX62" i="1"/>
  <c r="CD62" i="1" s="1"/>
  <c r="BY62" i="1"/>
  <c r="BZ62" i="1"/>
  <c r="CA62" i="1"/>
  <c r="CB62" i="1"/>
  <c r="CC62" i="1"/>
  <c r="BX63" i="1"/>
  <c r="BY63" i="1"/>
  <c r="BZ63" i="1"/>
  <c r="CA63" i="1"/>
  <c r="CB63" i="1"/>
  <c r="CC63" i="1"/>
  <c r="BX64" i="1"/>
  <c r="BY64" i="1"/>
  <c r="BZ64" i="1"/>
  <c r="CA64" i="1"/>
  <c r="CB64" i="1"/>
  <c r="CC64" i="1"/>
  <c r="BX65" i="1"/>
  <c r="CD65" i="1" s="1"/>
  <c r="BY65" i="1"/>
  <c r="BZ65" i="1"/>
  <c r="CA65" i="1"/>
  <c r="CB65" i="1"/>
  <c r="CC65" i="1"/>
  <c r="BZ66" i="1"/>
  <c r="CA66" i="1"/>
  <c r="CB66" i="1"/>
  <c r="CC66" i="1"/>
  <c r="BX67" i="1"/>
  <c r="CD67" i="1" s="1"/>
  <c r="BY67" i="1"/>
  <c r="BZ67" i="1"/>
  <c r="CA67" i="1"/>
  <c r="CB67" i="1"/>
  <c r="CC67" i="1"/>
  <c r="BX68" i="1"/>
  <c r="BY68" i="1"/>
  <c r="BZ68" i="1"/>
  <c r="CA68" i="1"/>
  <c r="CB68" i="1"/>
  <c r="CC68" i="1"/>
  <c r="BX69" i="1"/>
  <c r="BY69" i="1"/>
  <c r="BZ69" i="1"/>
  <c r="CA69" i="1"/>
  <c r="CB69" i="1"/>
  <c r="CC69" i="1"/>
  <c r="BX70" i="1"/>
  <c r="BY70" i="1"/>
  <c r="BZ70" i="1"/>
  <c r="CA70" i="1"/>
  <c r="CB70" i="1"/>
  <c r="CC70" i="1"/>
  <c r="BX71" i="1"/>
  <c r="BY71" i="1"/>
  <c r="BZ71" i="1"/>
  <c r="CA71" i="1"/>
  <c r="CB71" i="1"/>
  <c r="CC71" i="1"/>
  <c r="BX72" i="1"/>
  <c r="CD72" i="1" s="1"/>
  <c r="BY72" i="1"/>
  <c r="BZ72" i="1"/>
  <c r="CA72" i="1"/>
  <c r="CB72" i="1"/>
  <c r="CC72" i="1"/>
  <c r="BX73" i="1"/>
  <c r="CD73" i="1" s="1"/>
  <c r="BY73" i="1"/>
  <c r="BZ73" i="1"/>
  <c r="CA73" i="1"/>
  <c r="CB73" i="1"/>
  <c r="CC73" i="1"/>
  <c r="BX74" i="1"/>
  <c r="BY74" i="1"/>
  <c r="BZ74" i="1"/>
  <c r="CA74" i="1"/>
  <c r="CB74" i="1"/>
  <c r="CC74" i="1"/>
  <c r="CD74" i="1"/>
  <c r="BX75" i="1"/>
  <c r="BY75" i="1"/>
  <c r="BZ75" i="1"/>
  <c r="CA75" i="1"/>
  <c r="CB75" i="1"/>
  <c r="CC75" i="1"/>
  <c r="BX76" i="1"/>
  <c r="BY76" i="1"/>
  <c r="BZ76" i="1"/>
  <c r="CA76" i="1"/>
  <c r="CB76" i="1"/>
  <c r="CC76" i="1"/>
  <c r="BX77" i="1"/>
  <c r="BY77" i="1"/>
  <c r="BZ77" i="1"/>
  <c r="CA77" i="1"/>
  <c r="CB77" i="1"/>
  <c r="CC77" i="1"/>
  <c r="CD77" i="1"/>
  <c r="BX78" i="1"/>
  <c r="CD78" i="1" s="1"/>
  <c r="BY78" i="1"/>
  <c r="BZ78" i="1"/>
  <c r="CA78" i="1"/>
  <c r="CB78" i="1"/>
  <c r="CC78" i="1"/>
  <c r="BX79" i="1"/>
  <c r="BY79" i="1"/>
  <c r="BZ79" i="1"/>
  <c r="CD79" i="1" s="1"/>
  <c r="CA79" i="1"/>
  <c r="CB79" i="1"/>
  <c r="CC79" i="1"/>
  <c r="BX80" i="1"/>
  <c r="BY80" i="1"/>
  <c r="BZ80" i="1"/>
  <c r="CA80" i="1"/>
  <c r="CB80" i="1"/>
  <c r="CC80" i="1"/>
  <c r="BX81" i="1"/>
  <c r="BY81" i="1"/>
  <c r="BZ81" i="1"/>
  <c r="CA81" i="1"/>
  <c r="CB81" i="1"/>
  <c r="CC81" i="1"/>
  <c r="BX82" i="1"/>
  <c r="BY82" i="1"/>
  <c r="BZ82" i="1"/>
  <c r="CA82" i="1"/>
  <c r="CD82" i="1" s="1"/>
  <c r="CB82" i="1"/>
  <c r="CC82" i="1"/>
  <c r="BX83" i="1"/>
  <c r="BY83" i="1"/>
  <c r="BZ83" i="1"/>
  <c r="CA83" i="1"/>
  <c r="CB83" i="1"/>
  <c r="CC83" i="1"/>
  <c r="BX84" i="1"/>
  <c r="BY84" i="1"/>
  <c r="BZ84" i="1"/>
  <c r="CD84" i="1" s="1"/>
  <c r="CA84" i="1"/>
  <c r="CB84" i="1"/>
  <c r="CC84" i="1"/>
  <c r="BX85" i="1"/>
  <c r="BY85" i="1"/>
  <c r="BZ85" i="1"/>
  <c r="CA85" i="1"/>
  <c r="CB85" i="1"/>
  <c r="CC85" i="1"/>
  <c r="BX86" i="1"/>
  <c r="CD86" i="1" s="1"/>
  <c r="BY86" i="1"/>
  <c r="BZ86" i="1"/>
  <c r="CA86" i="1"/>
  <c r="CB86" i="1"/>
  <c r="CC86" i="1"/>
  <c r="BX87" i="1"/>
  <c r="BY87" i="1"/>
  <c r="BZ87" i="1"/>
  <c r="CA87" i="1"/>
  <c r="CB87" i="1"/>
  <c r="CC87" i="1"/>
  <c r="BX88" i="1"/>
  <c r="BY88" i="1"/>
  <c r="BZ88" i="1"/>
  <c r="CA88" i="1"/>
  <c r="CB88" i="1"/>
  <c r="CC88" i="1"/>
  <c r="BX89" i="1"/>
  <c r="BY89" i="1"/>
  <c r="CD89" i="1" s="1"/>
  <c r="BZ89" i="1"/>
  <c r="CA89" i="1"/>
  <c r="CB89" i="1"/>
  <c r="CC89" i="1"/>
  <c r="BX90" i="1"/>
  <c r="BY90" i="1"/>
  <c r="BZ90" i="1"/>
  <c r="CA90" i="1"/>
  <c r="CB90" i="1"/>
  <c r="CC90" i="1"/>
  <c r="BX91" i="1"/>
  <c r="BY91" i="1"/>
  <c r="BZ91" i="1"/>
  <c r="CA91" i="1"/>
  <c r="CB91" i="1"/>
  <c r="CC91" i="1"/>
  <c r="CD91" i="1"/>
  <c r="BX92" i="1"/>
  <c r="BY92" i="1"/>
  <c r="BZ92" i="1"/>
  <c r="CA92" i="1"/>
  <c r="CB92" i="1"/>
  <c r="CC92" i="1"/>
  <c r="BX93" i="1"/>
  <c r="BY93" i="1"/>
  <c r="BZ93" i="1"/>
  <c r="CA93" i="1"/>
  <c r="CB93" i="1"/>
  <c r="CC93" i="1"/>
  <c r="BX94" i="1"/>
  <c r="BY94" i="1"/>
  <c r="BZ94" i="1"/>
  <c r="CA94" i="1"/>
  <c r="CB94" i="1"/>
  <c r="CC94" i="1"/>
  <c r="BX95" i="1"/>
  <c r="BY95" i="1"/>
  <c r="BZ95" i="1"/>
  <c r="CA95" i="1"/>
  <c r="CB95" i="1"/>
  <c r="CC95" i="1"/>
  <c r="BX96" i="1"/>
  <c r="BY96" i="1"/>
  <c r="BZ96" i="1"/>
  <c r="CA96" i="1"/>
  <c r="CB96" i="1"/>
  <c r="CC96" i="1"/>
  <c r="CD96" i="1"/>
  <c r="BX97" i="1"/>
  <c r="CD97" i="1" s="1"/>
  <c r="BY97" i="1"/>
  <c r="BZ97" i="1"/>
  <c r="CA97" i="1"/>
  <c r="CB97" i="1"/>
  <c r="CC97" i="1"/>
  <c r="BX98" i="1"/>
  <c r="BY98" i="1"/>
  <c r="BZ98" i="1"/>
  <c r="CD98" i="1" s="1"/>
  <c r="CA98" i="1"/>
  <c r="CB98" i="1"/>
  <c r="CC98" i="1"/>
  <c r="BX99" i="1"/>
  <c r="BY99" i="1"/>
  <c r="BZ99" i="1"/>
  <c r="CD99" i="1" s="1"/>
  <c r="CA99" i="1"/>
  <c r="CB99" i="1"/>
  <c r="CC99" i="1"/>
  <c r="BX100" i="1"/>
  <c r="BY100" i="1"/>
  <c r="BZ100" i="1"/>
  <c r="CA100" i="1"/>
  <c r="CB100" i="1"/>
  <c r="CC100" i="1"/>
  <c r="BX101" i="1"/>
  <c r="CD101" i="1" s="1"/>
  <c r="BY101" i="1"/>
  <c r="BZ101" i="1"/>
  <c r="CA101" i="1"/>
  <c r="CB101" i="1"/>
  <c r="CC101" i="1"/>
  <c r="BX102" i="1"/>
  <c r="BY102" i="1"/>
  <c r="BZ102" i="1"/>
  <c r="CA102" i="1"/>
  <c r="CB102" i="1"/>
  <c r="CC102" i="1"/>
  <c r="BX103" i="1"/>
  <c r="CD103" i="1" s="1"/>
  <c r="BY103" i="1"/>
  <c r="BZ103" i="1"/>
  <c r="CA103" i="1"/>
  <c r="CB103" i="1"/>
  <c r="CC103" i="1"/>
  <c r="BX104" i="1"/>
  <c r="BY104" i="1"/>
  <c r="BZ104" i="1"/>
  <c r="CA104" i="1"/>
  <c r="CB104" i="1"/>
  <c r="CC104" i="1"/>
  <c r="BX105" i="1"/>
  <c r="BY105" i="1"/>
  <c r="BZ105" i="1"/>
  <c r="CA105" i="1"/>
  <c r="CB105" i="1"/>
  <c r="CC105" i="1"/>
  <c r="BX106" i="1"/>
  <c r="BY106" i="1"/>
  <c r="BZ106" i="1"/>
  <c r="CA106" i="1"/>
  <c r="CD106" i="1" s="1"/>
  <c r="CB106" i="1"/>
  <c r="CC106" i="1"/>
  <c r="BX107" i="1"/>
  <c r="BY107" i="1"/>
  <c r="BZ107" i="1"/>
  <c r="CA107" i="1"/>
  <c r="CB107" i="1"/>
  <c r="CC107" i="1"/>
  <c r="BX108" i="1"/>
  <c r="BY108" i="1"/>
  <c r="CD108" i="1" s="1"/>
  <c r="BZ108" i="1"/>
  <c r="CA108" i="1"/>
  <c r="CB108" i="1"/>
  <c r="CC108" i="1"/>
  <c r="BX109" i="1"/>
  <c r="BY109" i="1"/>
  <c r="BZ109" i="1"/>
  <c r="CA109" i="1"/>
  <c r="CB109" i="1"/>
  <c r="CC109" i="1"/>
  <c r="BX110" i="1"/>
  <c r="BY110" i="1"/>
  <c r="BZ110" i="1"/>
  <c r="CA110" i="1"/>
  <c r="CB110" i="1"/>
  <c r="CC110" i="1"/>
  <c r="CD110" i="1"/>
  <c r="BX111" i="1"/>
  <c r="BY111" i="1"/>
  <c r="BZ111" i="1"/>
  <c r="CA111" i="1"/>
  <c r="CB111" i="1"/>
  <c r="CC111" i="1"/>
  <c r="BX112" i="1"/>
  <c r="BY112" i="1"/>
  <c r="BZ112" i="1"/>
  <c r="CA112" i="1"/>
  <c r="CB112" i="1"/>
  <c r="CC112" i="1"/>
  <c r="BX113" i="1"/>
  <c r="CD113" i="1" s="1"/>
  <c r="BY113" i="1"/>
  <c r="BZ113" i="1"/>
  <c r="CA113" i="1"/>
  <c r="CB113" i="1"/>
  <c r="CC113" i="1"/>
  <c r="BX114" i="1"/>
  <c r="CD114" i="1" s="1"/>
  <c r="BY114" i="1"/>
  <c r="BZ114" i="1"/>
  <c r="CA114" i="1"/>
  <c r="CB114" i="1"/>
  <c r="CC114" i="1"/>
  <c r="BX115" i="1"/>
  <c r="BY115" i="1"/>
  <c r="BZ115" i="1"/>
  <c r="CA115" i="1"/>
  <c r="CB115" i="1"/>
  <c r="CC115" i="1"/>
  <c r="CD115" i="1"/>
  <c r="BX116" i="1"/>
  <c r="CD116" i="1" s="1"/>
  <c r="BY116" i="1"/>
  <c r="BZ116" i="1"/>
  <c r="CA116" i="1"/>
  <c r="CB116" i="1"/>
  <c r="CC116" i="1"/>
  <c r="BX117" i="1"/>
  <c r="BY117" i="1"/>
  <c r="BZ117" i="1"/>
  <c r="CA117" i="1"/>
  <c r="CB117" i="1"/>
  <c r="CC117" i="1"/>
  <c r="BX118" i="1"/>
  <c r="BY118" i="1"/>
  <c r="BZ118" i="1"/>
  <c r="CA118" i="1"/>
  <c r="CB118" i="1"/>
  <c r="CC118" i="1"/>
  <c r="BX119" i="1"/>
  <c r="BY119" i="1"/>
  <c r="BZ119" i="1"/>
  <c r="CA119" i="1"/>
  <c r="CB119" i="1"/>
  <c r="CC119" i="1"/>
  <c r="BX120" i="1"/>
  <c r="CD120" i="1" s="1"/>
  <c r="BY120" i="1"/>
  <c r="BZ120" i="1"/>
  <c r="CA120" i="1"/>
  <c r="CB120" i="1"/>
  <c r="CC120" i="1"/>
  <c r="BX121" i="1"/>
  <c r="BY121" i="1"/>
  <c r="BZ121" i="1"/>
  <c r="CA121" i="1"/>
  <c r="CB121" i="1"/>
  <c r="CC121" i="1"/>
  <c r="BX122" i="1"/>
  <c r="CD122" i="1" s="1"/>
  <c r="BY122" i="1"/>
  <c r="BZ122" i="1"/>
  <c r="CA122" i="1"/>
  <c r="CB122" i="1"/>
  <c r="CC122" i="1"/>
  <c r="BX123" i="1"/>
  <c r="BY123" i="1"/>
  <c r="BZ123" i="1"/>
  <c r="CA123" i="1"/>
  <c r="CB123" i="1"/>
  <c r="CC123" i="1"/>
  <c r="BX124" i="1"/>
  <c r="BY124" i="1"/>
  <c r="BZ124" i="1"/>
  <c r="CA124" i="1"/>
  <c r="CB124" i="1"/>
  <c r="CC124" i="1"/>
  <c r="BX125" i="1"/>
  <c r="BY125" i="1"/>
  <c r="BZ125" i="1"/>
  <c r="CD125" i="1" s="1"/>
  <c r="CA125" i="1"/>
  <c r="CB125" i="1"/>
  <c r="CC125" i="1"/>
  <c r="BX126" i="1"/>
  <c r="BY126" i="1"/>
  <c r="BZ126" i="1"/>
  <c r="CA126" i="1"/>
  <c r="CB126" i="1"/>
  <c r="CC126" i="1"/>
  <c r="BX127" i="1"/>
  <c r="CD127" i="1" s="1"/>
  <c r="BY127" i="1"/>
  <c r="BZ127" i="1"/>
  <c r="CA127" i="1"/>
  <c r="CB127" i="1"/>
  <c r="CC127" i="1"/>
  <c r="BX128" i="1"/>
  <c r="BY128" i="1"/>
  <c r="BZ128" i="1"/>
  <c r="CA128" i="1"/>
  <c r="CB128" i="1"/>
  <c r="CC128" i="1"/>
  <c r="BX129" i="1"/>
  <c r="BY129" i="1"/>
  <c r="BZ129" i="1"/>
  <c r="CA129" i="1"/>
  <c r="CB129" i="1"/>
  <c r="CC129" i="1"/>
  <c r="BX130" i="1"/>
  <c r="BY130" i="1"/>
  <c r="BZ130" i="1"/>
  <c r="CA130" i="1"/>
  <c r="CB130" i="1"/>
  <c r="CC130" i="1"/>
  <c r="BX131" i="1"/>
  <c r="BY131" i="1"/>
  <c r="BZ131" i="1"/>
  <c r="CA131" i="1"/>
  <c r="CB131" i="1"/>
  <c r="CC131" i="1"/>
  <c r="BX132" i="1"/>
  <c r="CD132" i="1" s="1"/>
  <c r="BY132" i="1"/>
  <c r="BZ132" i="1"/>
  <c r="CA132" i="1"/>
  <c r="CB132" i="1"/>
  <c r="CC132" i="1"/>
  <c r="BX133" i="1"/>
  <c r="CD133" i="1" s="1"/>
  <c r="BY133" i="1"/>
  <c r="BZ133" i="1"/>
  <c r="CA133" i="1"/>
  <c r="CB133" i="1"/>
  <c r="CC133" i="1"/>
  <c r="BX134" i="1"/>
  <c r="BY134" i="1"/>
  <c r="BZ134" i="1"/>
  <c r="CA134" i="1"/>
  <c r="CB134" i="1"/>
  <c r="CC134" i="1"/>
  <c r="CD134" i="1"/>
  <c r="BX135" i="1"/>
  <c r="BY135" i="1"/>
  <c r="BZ135" i="1"/>
  <c r="CA135" i="1"/>
  <c r="CB135" i="1"/>
  <c r="CC135" i="1"/>
  <c r="BX136" i="1"/>
  <c r="BY136" i="1"/>
  <c r="BZ136" i="1"/>
  <c r="CA136" i="1"/>
  <c r="CB136" i="1"/>
  <c r="CC136" i="1"/>
  <c r="BX137" i="1"/>
  <c r="BY137" i="1"/>
  <c r="BZ137" i="1"/>
  <c r="CA137" i="1"/>
  <c r="CB137" i="1"/>
  <c r="CC137" i="1"/>
  <c r="CD137" i="1"/>
  <c r="BX138" i="1"/>
  <c r="BY138" i="1"/>
  <c r="BZ138" i="1"/>
  <c r="CA138" i="1"/>
  <c r="CB138" i="1"/>
  <c r="CC138" i="1"/>
  <c r="BX139" i="1"/>
  <c r="BY139" i="1"/>
  <c r="BZ139" i="1"/>
  <c r="CA139" i="1"/>
  <c r="CB139" i="1"/>
  <c r="CC139" i="1"/>
  <c r="BX140" i="1"/>
  <c r="BY140" i="1"/>
  <c r="BZ140" i="1"/>
  <c r="CA140" i="1"/>
  <c r="CB140" i="1"/>
  <c r="CC140" i="1"/>
  <c r="BX141" i="1"/>
  <c r="BY141" i="1"/>
  <c r="BZ141" i="1"/>
  <c r="CA141" i="1"/>
  <c r="CB141" i="1"/>
  <c r="CC141" i="1"/>
  <c r="BX142" i="1"/>
  <c r="BY142" i="1"/>
  <c r="BZ142" i="1"/>
  <c r="CA142" i="1"/>
  <c r="CB142" i="1"/>
  <c r="CC142" i="1"/>
  <c r="BX143" i="1"/>
  <c r="CD143" i="1" s="1"/>
  <c r="BY143" i="1"/>
  <c r="BZ143" i="1"/>
  <c r="CA143" i="1"/>
  <c r="CB143" i="1"/>
  <c r="CC143" i="1"/>
  <c r="BX144" i="1"/>
  <c r="CD144" i="1" s="1"/>
  <c r="BY144" i="1"/>
  <c r="BZ144" i="1"/>
  <c r="CA144" i="1"/>
  <c r="CB144" i="1"/>
  <c r="CC144" i="1"/>
  <c r="BX145" i="1"/>
  <c r="BY145" i="1"/>
  <c r="BZ145" i="1"/>
  <c r="CA145" i="1"/>
  <c r="CB145" i="1"/>
  <c r="CC145" i="1"/>
  <c r="BX146" i="1"/>
  <c r="BY146" i="1"/>
  <c r="CD146" i="1" s="1"/>
  <c r="BZ146" i="1"/>
  <c r="CA146" i="1"/>
  <c r="CB146" i="1"/>
  <c r="CC146" i="1"/>
  <c r="BX147" i="1"/>
  <c r="BY147" i="1"/>
  <c r="BZ147" i="1"/>
  <c r="CA147" i="1"/>
  <c r="CB147" i="1"/>
  <c r="CC147" i="1"/>
  <c r="BX148" i="1"/>
  <c r="BY148" i="1"/>
  <c r="BZ148" i="1"/>
  <c r="CA148" i="1"/>
  <c r="CB148" i="1"/>
  <c r="CC148" i="1"/>
  <c r="BX149" i="1"/>
  <c r="CD149" i="1" s="1"/>
  <c r="BY149" i="1"/>
  <c r="BZ149" i="1"/>
  <c r="CA149" i="1"/>
  <c r="CB149" i="1"/>
  <c r="CC149" i="1"/>
  <c r="BX150" i="1"/>
  <c r="BY150" i="1"/>
  <c r="BZ150" i="1"/>
  <c r="CA150" i="1"/>
  <c r="CB150" i="1"/>
  <c r="CC150" i="1"/>
  <c r="BX151" i="1"/>
  <c r="CD151" i="1" s="1"/>
  <c r="BY151" i="1"/>
  <c r="BZ151" i="1"/>
  <c r="CA151" i="1"/>
  <c r="CB151" i="1"/>
  <c r="CC151" i="1"/>
  <c r="BX152" i="1"/>
  <c r="CD152" i="1" s="1"/>
  <c r="BY152" i="1"/>
  <c r="BZ152" i="1"/>
  <c r="CA152" i="1"/>
  <c r="CB152" i="1"/>
  <c r="CC152" i="1"/>
  <c r="BX153" i="1"/>
  <c r="BY153" i="1"/>
  <c r="BZ153" i="1"/>
  <c r="CA153" i="1"/>
  <c r="CB153" i="1"/>
  <c r="CC153" i="1"/>
  <c r="BX154" i="1"/>
  <c r="BY154" i="1"/>
  <c r="BZ154" i="1"/>
  <c r="CA154" i="1"/>
  <c r="CB154" i="1"/>
  <c r="CC154" i="1"/>
  <c r="BX155" i="1"/>
  <c r="BY155" i="1"/>
  <c r="BZ155" i="1"/>
  <c r="CA155" i="1"/>
  <c r="CB155" i="1"/>
  <c r="CC155" i="1"/>
  <c r="BX156" i="1"/>
  <c r="CD156" i="1" s="1"/>
  <c r="BY156" i="1"/>
  <c r="BZ156" i="1"/>
  <c r="CA156" i="1"/>
  <c r="CB156" i="1"/>
  <c r="CC156" i="1"/>
  <c r="BX157" i="1"/>
  <c r="BY157" i="1"/>
  <c r="BZ157" i="1"/>
  <c r="CA157" i="1"/>
  <c r="CB157" i="1"/>
  <c r="CC157" i="1"/>
  <c r="BX158" i="1"/>
  <c r="CD158" i="1" s="1"/>
  <c r="BY158" i="1"/>
  <c r="BZ158" i="1"/>
  <c r="CA158" i="1"/>
  <c r="CB158" i="1"/>
  <c r="CC158" i="1"/>
  <c r="BX159" i="1"/>
  <c r="BY159" i="1"/>
  <c r="BZ159" i="1"/>
  <c r="CA159" i="1"/>
  <c r="CB159" i="1"/>
  <c r="CC159" i="1"/>
  <c r="BX160" i="1"/>
  <c r="BY160" i="1"/>
  <c r="BZ160" i="1"/>
  <c r="CA160" i="1"/>
  <c r="CB160" i="1"/>
  <c r="CC160" i="1"/>
  <c r="BX161" i="1"/>
  <c r="BY161" i="1"/>
  <c r="BZ161" i="1"/>
  <c r="CA161" i="1"/>
  <c r="CB161" i="1"/>
  <c r="CD161" i="1" s="1"/>
  <c r="CC161" i="1"/>
  <c r="BX162" i="1"/>
  <c r="CD162" i="1" s="1"/>
  <c r="BY162" i="1"/>
  <c r="BZ162" i="1"/>
  <c r="CA162" i="1"/>
  <c r="CB162" i="1"/>
  <c r="CC162" i="1"/>
  <c r="BX163" i="1"/>
  <c r="BY163" i="1"/>
  <c r="BZ163" i="1"/>
  <c r="CA163" i="1"/>
  <c r="CB163" i="1"/>
  <c r="CC163" i="1"/>
  <c r="BX164" i="1"/>
  <c r="BY164" i="1"/>
  <c r="BZ164" i="1"/>
  <c r="CA164" i="1"/>
  <c r="CB164" i="1"/>
  <c r="CC164" i="1"/>
  <c r="BX165" i="1"/>
  <c r="BY165" i="1"/>
  <c r="BZ165" i="1"/>
  <c r="CA165" i="1"/>
  <c r="CB165" i="1"/>
  <c r="CC165" i="1"/>
  <c r="BX166" i="1"/>
  <c r="BY166" i="1"/>
  <c r="BZ166" i="1"/>
  <c r="CA166" i="1"/>
  <c r="CB166" i="1"/>
  <c r="CC166" i="1"/>
  <c r="BX167" i="1"/>
  <c r="BY167" i="1"/>
  <c r="BZ167" i="1"/>
  <c r="CA167" i="1"/>
  <c r="CB167" i="1"/>
  <c r="CC167" i="1"/>
  <c r="CD167" i="1"/>
  <c r="BX168" i="1"/>
  <c r="BY168" i="1"/>
  <c r="BZ168" i="1"/>
  <c r="CA168" i="1"/>
  <c r="CB168" i="1"/>
  <c r="CC168" i="1"/>
  <c r="BX169" i="1"/>
  <c r="CD169" i="1" s="1"/>
  <c r="BY169" i="1"/>
  <c r="BZ169" i="1"/>
  <c r="CA169" i="1"/>
  <c r="CB169" i="1"/>
  <c r="CC169" i="1"/>
  <c r="BX170" i="1"/>
  <c r="BY170" i="1"/>
  <c r="BZ170" i="1"/>
  <c r="CA170" i="1"/>
  <c r="CB170" i="1"/>
  <c r="CC170" i="1"/>
  <c r="BX171" i="1"/>
  <c r="CD171" i="1" s="1"/>
  <c r="BY171" i="1"/>
  <c r="BZ171" i="1"/>
  <c r="CA171" i="1"/>
  <c r="CB171" i="1"/>
  <c r="CC171" i="1"/>
  <c r="BX172" i="1"/>
  <c r="BY172" i="1"/>
  <c r="BZ172" i="1"/>
  <c r="CA172" i="1"/>
  <c r="CB172" i="1"/>
  <c r="CC172" i="1"/>
  <c r="CD172" i="1"/>
  <c r="BX173" i="1"/>
  <c r="BY173" i="1"/>
  <c r="BZ173" i="1"/>
  <c r="CA173" i="1"/>
  <c r="CB173" i="1"/>
  <c r="CC173" i="1"/>
  <c r="BX174" i="1"/>
  <c r="BY174" i="1"/>
  <c r="BZ174" i="1"/>
  <c r="CA174" i="1"/>
  <c r="CB174" i="1"/>
  <c r="CC174" i="1"/>
  <c r="BX175" i="1"/>
  <c r="BY175" i="1"/>
  <c r="BZ175" i="1"/>
  <c r="CA175" i="1"/>
  <c r="CB175" i="1"/>
  <c r="CC175" i="1"/>
  <c r="BX176" i="1"/>
  <c r="BY176" i="1"/>
  <c r="BZ176" i="1"/>
  <c r="CA176" i="1"/>
  <c r="CB176" i="1"/>
  <c r="CC176" i="1"/>
  <c r="BX177" i="1"/>
  <c r="BY177" i="1"/>
  <c r="BZ177" i="1"/>
  <c r="CA177" i="1"/>
  <c r="CD177" i="1" s="1"/>
  <c r="CB177" i="1"/>
  <c r="CC177" i="1"/>
  <c r="BX178" i="1"/>
  <c r="BY178" i="1"/>
  <c r="BZ178" i="1"/>
  <c r="CA178" i="1"/>
  <c r="CB178" i="1"/>
  <c r="CC178" i="1"/>
  <c r="BX179" i="1"/>
  <c r="BY179" i="1"/>
  <c r="BZ179" i="1"/>
  <c r="CD179" i="1" s="1"/>
  <c r="CA179" i="1"/>
  <c r="CB179" i="1"/>
  <c r="CC179" i="1"/>
  <c r="BX180" i="1"/>
  <c r="BY180" i="1"/>
  <c r="BZ180" i="1"/>
  <c r="CA180" i="1"/>
  <c r="CB180" i="1"/>
  <c r="CC180" i="1"/>
  <c r="BX181" i="1"/>
  <c r="CD181" i="1" s="1"/>
  <c r="BY181" i="1"/>
  <c r="BZ181" i="1"/>
  <c r="CA181" i="1"/>
  <c r="CB181" i="1"/>
  <c r="CC181" i="1"/>
  <c r="BX182" i="1"/>
  <c r="BY182" i="1"/>
  <c r="BZ182" i="1"/>
  <c r="CA182" i="1"/>
  <c r="CB182" i="1"/>
  <c r="CC182" i="1"/>
  <c r="BX183" i="1"/>
  <c r="BY183" i="1"/>
  <c r="BZ183" i="1"/>
  <c r="CA183" i="1"/>
  <c r="CB183" i="1"/>
  <c r="CC183" i="1"/>
  <c r="BX184" i="1"/>
  <c r="BY184" i="1"/>
  <c r="CD184" i="1" s="1"/>
  <c r="BZ184" i="1"/>
  <c r="CA184" i="1"/>
  <c r="CB184" i="1"/>
  <c r="CC184" i="1"/>
  <c r="BX185" i="1"/>
  <c r="BY185" i="1"/>
  <c r="BZ185" i="1"/>
  <c r="CA185" i="1"/>
  <c r="CB185" i="1"/>
  <c r="CC185" i="1"/>
  <c r="BX186" i="1"/>
  <c r="BY186" i="1"/>
  <c r="BZ186" i="1"/>
  <c r="CA186" i="1"/>
  <c r="CB186" i="1"/>
  <c r="CC186" i="1"/>
  <c r="CD186" i="1"/>
  <c r="BX187" i="1"/>
  <c r="BY187" i="1"/>
  <c r="BZ187" i="1"/>
  <c r="CA187" i="1"/>
  <c r="CB187" i="1"/>
  <c r="CC187" i="1"/>
  <c r="BX188" i="1"/>
  <c r="BY188" i="1"/>
  <c r="BZ188" i="1"/>
  <c r="CA188" i="1"/>
  <c r="CB188" i="1"/>
  <c r="CC188" i="1"/>
  <c r="BX189" i="1"/>
  <c r="BY189" i="1"/>
  <c r="BZ189" i="1"/>
  <c r="CA189" i="1"/>
  <c r="CB189" i="1"/>
  <c r="CC189" i="1"/>
  <c r="BX190" i="1"/>
  <c r="BY190" i="1"/>
  <c r="BZ190" i="1"/>
  <c r="CA190" i="1"/>
  <c r="CB190" i="1"/>
  <c r="CC190" i="1"/>
  <c r="BX191" i="1"/>
  <c r="BY191" i="1"/>
  <c r="BZ191" i="1"/>
  <c r="CA191" i="1"/>
  <c r="CB191" i="1"/>
  <c r="CC191" i="1"/>
  <c r="BX192" i="1"/>
  <c r="BY192" i="1"/>
  <c r="BZ192" i="1"/>
  <c r="CA192" i="1"/>
  <c r="CB192" i="1"/>
  <c r="CC192" i="1"/>
  <c r="BX193" i="1"/>
  <c r="CD193" i="1" s="1"/>
  <c r="BY193" i="1"/>
  <c r="BZ193" i="1"/>
  <c r="CA193" i="1"/>
  <c r="CB193" i="1"/>
  <c r="CC193" i="1"/>
  <c r="BX194" i="1"/>
  <c r="BY194" i="1"/>
  <c r="BZ194" i="1"/>
  <c r="CA194" i="1"/>
  <c r="CB194" i="1"/>
  <c r="CC194" i="1"/>
  <c r="BX195" i="1"/>
  <c r="BY195" i="1"/>
  <c r="BZ195" i="1"/>
  <c r="CA195" i="1"/>
  <c r="CB195" i="1"/>
  <c r="CC195" i="1"/>
  <c r="BX196" i="1"/>
  <c r="BY196" i="1"/>
  <c r="BZ196" i="1"/>
  <c r="CA196" i="1"/>
  <c r="CB196" i="1"/>
  <c r="CD196" i="1" s="1"/>
  <c r="CC196" i="1"/>
  <c r="BX197" i="1"/>
  <c r="BY197" i="1"/>
  <c r="BZ197" i="1"/>
  <c r="CA197" i="1"/>
  <c r="CB197" i="1"/>
  <c r="CC197" i="1"/>
  <c r="BX198" i="1"/>
  <c r="BY198" i="1"/>
  <c r="BZ198" i="1"/>
  <c r="CD198" i="1" s="1"/>
  <c r="CA198" i="1"/>
  <c r="CB198" i="1"/>
  <c r="CC198" i="1"/>
  <c r="BX199" i="1"/>
  <c r="BY199" i="1"/>
  <c r="BZ199" i="1"/>
  <c r="CA199" i="1"/>
  <c r="CB199" i="1"/>
  <c r="CC199" i="1"/>
  <c r="BX200" i="1"/>
  <c r="BY200" i="1"/>
  <c r="BZ200" i="1"/>
  <c r="CA200" i="1"/>
  <c r="CB200" i="1"/>
  <c r="CC200" i="1"/>
  <c r="BX201" i="1"/>
  <c r="BY201" i="1"/>
  <c r="BZ201" i="1"/>
  <c r="CA201" i="1"/>
  <c r="CB201" i="1"/>
  <c r="CC201" i="1"/>
  <c r="BX202" i="1"/>
  <c r="BY202" i="1"/>
  <c r="BZ202" i="1"/>
  <c r="CA202" i="1"/>
  <c r="CB202" i="1"/>
  <c r="CC202" i="1"/>
  <c r="BX203" i="1"/>
  <c r="CD203" i="1" s="1"/>
  <c r="BY203" i="1"/>
  <c r="BZ203" i="1"/>
  <c r="CA203" i="1"/>
  <c r="CB203" i="1"/>
  <c r="CC203" i="1"/>
  <c r="BX204" i="1"/>
  <c r="BY204" i="1"/>
  <c r="BZ204" i="1"/>
  <c r="CA204" i="1"/>
  <c r="CB204" i="1"/>
  <c r="CC204" i="1"/>
  <c r="BX205" i="1"/>
  <c r="CD205" i="1" s="1"/>
  <c r="BY205" i="1"/>
  <c r="BZ205" i="1"/>
  <c r="CA205" i="1"/>
  <c r="CB205" i="1"/>
  <c r="CC205" i="1"/>
  <c r="BX206" i="1"/>
  <c r="BY206" i="1"/>
  <c r="BZ206" i="1"/>
  <c r="CA206" i="1"/>
  <c r="CB206" i="1"/>
  <c r="CC206" i="1"/>
  <c r="BX207" i="1"/>
  <c r="BY207" i="1"/>
  <c r="BZ207" i="1"/>
  <c r="CA207" i="1"/>
  <c r="CB207" i="1"/>
  <c r="CC207" i="1"/>
  <c r="BX208" i="1"/>
  <c r="BY208" i="1"/>
  <c r="BZ208" i="1"/>
  <c r="CA208" i="1"/>
  <c r="CB208" i="1"/>
  <c r="CC208" i="1"/>
  <c r="BX209" i="1"/>
  <c r="BY209" i="1"/>
  <c r="BZ209" i="1"/>
  <c r="CA209" i="1"/>
  <c r="CB209" i="1"/>
  <c r="CC209" i="1"/>
  <c r="BX210" i="1"/>
  <c r="BY210" i="1"/>
  <c r="BZ210" i="1"/>
  <c r="CA210" i="1"/>
  <c r="CB210" i="1"/>
  <c r="CC210" i="1"/>
  <c r="BX211" i="1"/>
  <c r="BY211" i="1"/>
  <c r="BZ211" i="1"/>
  <c r="CA211" i="1"/>
  <c r="CB211" i="1"/>
  <c r="CC211" i="1"/>
  <c r="BX212" i="1"/>
  <c r="BY212" i="1"/>
  <c r="BZ212" i="1"/>
  <c r="CA212" i="1"/>
  <c r="CB212" i="1"/>
  <c r="CC212" i="1"/>
  <c r="BX213" i="1"/>
  <c r="BY213" i="1"/>
  <c r="BZ213" i="1"/>
  <c r="CA213" i="1"/>
  <c r="CB213" i="1"/>
  <c r="CC213" i="1"/>
  <c r="BX214" i="1"/>
  <c r="BY214" i="1"/>
  <c r="BZ214" i="1"/>
  <c r="CA214" i="1"/>
  <c r="CB214" i="1"/>
  <c r="CC214" i="1"/>
  <c r="BX215" i="1"/>
  <c r="BY215" i="1"/>
  <c r="BZ215" i="1"/>
  <c r="CA215" i="1"/>
  <c r="CB215" i="1"/>
  <c r="CC215" i="1"/>
  <c r="CD215" i="1"/>
  <c r="BX216" i="1"/>
  <c r="BY216" i="1"/>
  <c r="BZ216" i="1"/>
  <c r="CA216" i="1"/>
  <c r="CB216" i="1"/>
  <c r="CC216" i="1"/>
  <c r="BX217" i="1"/>
  <c r="BY217" i="1"/>
  <c r="BZ217" i="1"/>
  <c r="CA217" i="1"/>
  <c r="CB217" i="1"/>
  <c r="CC217" i="1"/>
  <c r="CD217" i="1" s="1"/>
  <c r="BX218" i="1"/>
  <c r="BY218" i="1"/>
  <c r="BZ218" i="1"/>
  <c r="CD218" i="1" s="1"/>
  <c r="CA218" i="1"/>
  <c r="CB218" i="1"/>
  <c r="CC218" i="1"/>
  <c r="BX219" i="1"/>
  <c r="BY219" i="1"/>
  <c r="BZ219" i="1"/>
  <c r="CA219" i="1"/>
  <c r="CB219" i="1"/>
  <c r="CC219" i="1"/>
  <c r="BX220" i="1"/>
  <c r="BY220" i="1"/>
  <c r="BZ220" i="1"/>
  <c r="CA220" i="1"/>
  <c r="CB220" i="1"/>
  <c r="CC220" i="1"/>
  <c r="BX221" i="1"/>
  <c r="BY221" i="1"/>
  <c r="BZ221" i="1"/>
  <c r="CA221" i="1"/>
  <c r="CB221" i="1"/>
  <c r="CC221" i="1"/>
  <c r="BX222" i="1"/>
  <c r="CD222" i="1" s="1"/>
  <c r="BY222" i="1"/>
  <c r="BZ222" i="1"/>
  <c r="CA222" i="1"/>
  <c r="CB222" i="1"/>
  <c r="CC222" i="1"/>
  <c r="BX223" i="1"/>
  <c r="BY223" i="1"/>
  <c r="BZ223" i="1"/>
  <c r="CA223" i="1"/>
  <c r="CB223" i="1"/>
  <c r="CC223" i="1"/>
  <c r="BX224" i="1"/>
  <c r="BY224" i="1"/>
  <c r="BZ224" i="1"/>
  <c r="CA224" i="1"/>
  <c r="CB224" i="1"/>
  <c r="CC224" i="1"/>
  <c r="BX225" i="1"/>
  <c r="BY225" i="1"/>
  <c r="BZ225" i="1"/>
  <c r="CA225" i="1"/>
  <c r="CB225" i="1"/>
  <c r="CC225" i="1"/>
  <c r="BX226" i="1"/>
  <c r="CD226" i="1" s="1"/>
  <c r="BY226" i="1"/>
  <c r="BZ226" i="1"/>
  <c r="CA226" i="1"/>
  <c r="CB226" i="1"/>
  <c r="CC226" i="1"/>
  <c r="BX227" i="1"/>
  <c r="BY227" i="1"/>
  <c r="BZ227" i="1"/>
  <c r="CA227" i="1"/>
  <c r="CB227" i="1"/>
  <c r="CC227" i="1"/>
  <c r="BX228" i="1"/>
  <c r="BY228" i="1"/>
  <c r="BZ228" i="1"/>
  <c r="CA228" i="1"/>
  <c r="CB228" i="1"/>
  <c r="CC228" i="1"/>
  <c r="BX229" i="1"/>
  <c r="BY229" i="1"/>
  <c r="BZ229" i="1"/>
  <c r="CA229" i="1"/>
  <c r="CB229" i="1"/>
  <c r="CC229" i="1"/>
  <c r="BX230" i="1"/>
  <c r="BY230" i="1"/>
  <c r="BZ230" i="1"/>
  <c r="CA230" i="1"/>
  <c r="CB230" i="1"/>
  <c r="CC230" i="1"/>
  <c r="BX231" i="1"/>
  <c r="CD231" i="1" s="1"/>
  <c r="BY231" i="1"/>
  <c r="BZ231" i="1"/>
  <c r="CA231" i="1"/>
  <c r="CB231" i="1"/>
  <c r="CC231" i="1"/>
  <c r="BX232" i="1"/>
  <c r="CD232" i="1" s="1"/>
  <c r="BY232" i="1"/>
  <c r="BZ232" i="1"/>
  <c r="CA232" i="1"/>
  <c r="CB232" i="1"/>
  <c r="CC232" i="1"/>
  <c r="BX233" i="1"/>
  <c r="BY233" i="1"/>
  <c r="BZ233" i="1"/>
  <c r="CA233" i="1"/>
  <c r="CB233" i="1"/>
  <c r="CC233" i="1"/>
  <c r="BX234" i="1"/>
  <c r="CD234" i="1" s="1"/>
  <c r="BY234" i="1"/>
  <c r="BZ234" i="1"/>
  <c r="CA234" i="1"/>
  <c r="CB234" i="1"/>
  <c r="CC234" i="1"/>
  <c r="BX235" i="1"/>
  <c r="BY235" i="1"/>
  <c r="BZ235" i="1"/>
  <c r="CA235" i="1"/>
  <c r="CB235" i="1"/>
  <c r="CC235" i="1"/>
  <c r="BX236" i="1"/>
  <c r="BY236" i="1"/>
  <c r="BZ236" i="1"/>
  <c r="CA236" i="1"/>
  <c r="CB236" i="1"/>
  <c r="CC236" i="1"/>
  <c r="BX237" i="1"/>
  <c r="BY237" i="1"/>
  <c r="BZ237" i="1"/>
  <c r="CA237" i="1"/>
  <c r="CB237" i="1"/>
  <c r="CC237" i="1"/>
  <c r="BX238" i="1"/>
  <c r="BY238" i="1"/>
  <c r="BZ238" i="1"/>
  <c r="CA238" i="1"/>
  <c r="CB238" i="1"/>
  <c r="CC238" i="1"/>
  <c r="BX239" i="1"/>
  <c r="CD239" i="1" s="1"/>
  <c r="BY239" i="1"/>
  <c r="BZ239" i="1"/>
  <c r="CA239" i="1"/>
  <c r="CB239" i="1"/>
  <c r="CC239" i="1"/>
  <c r="BX240" i="1"/>
  <c r="BY240" i="1"/>
  <c r="BZ240" i="1"/>
  <c r="CA240" i="1"/>
  <c r="CB240" i="1"/>
  <c r="CC240" i="1"/>
  <c r="BX241" i="1"/>
  <c r="CD241" i="1" s="1"/>
  <c r="BY241" i="1"/>
  <c r="BZ241" i="1"/>
  <c r="CA241" i="1"/>
  <c r="CB241" i="1"/>
  <c r="CC241" i="1"/>
  <c r="BX242" i="1"/>
  <c r="BY242" i="1"/>
  <c r="BZ242" i="1"/>
  <c r="CA242" i="1"/>
  <c r="CB242" i="1"/>
  <c r="CC242" i="1"/>
  <c r="BX243" i="1"/>
  <c r="BY243" i="1"/>
  <c r="BZ243" i="1"/>
  <c r="CA243" i="1"/>
  <c r="CB243" i="1"/>
  <c r="CC243" i="1"/>
  <c r="BX244" i="1"/>
  <c r="BY244" i="1"/>
  <c r="BZ244" i="1"/>
  <c r="CA244" i="1"/>
  <c r="CB244" i="1"/>
  <c r="CC244" i="1"/>
  <c r="CD244" i="1"/>
  <c r="BX245" i="1"/>
  <c r="BY245" i="1"/>
  <c r="BZ245" i="1"/>
  <c r="CA245" i="1"/>
  <c r="CB245" i="1"/>
  <c r="CC245" i="1"/>
  <c r="BX246" i="1"/>
  <c r="CD246" i="1" s="1"/>
  <c r="BY246" i="1"/>
  <c r="BZ246" i="1"/>
  <c r="CA246" i="1"/>
  <c r="CB246" i="1"/>
  <c r="CC246" i="1"/>
  <c r="BX247" i="1"/>
  <c r="BY247" i="1"/>
  <c r="BZ247" i="1"/>
  <c r="CA247" i="1"/>
  <c r="CB247" i="1"/>
  <c r="CC247" i="1"/>
  <c r="BX248" i="1"/>
  <c r="CD248" i="1" s="1"/>
  <c r="BY248" i="1"/>
  <c r="BZ248" i="1"/>
  <c r="CA248" i="1"/>
  <c r="CB248" i="1"/>
  <c r="CC248" i="1"/>
  <c r="BX249" i="1"/>
  <c r="BY249" i="1"/>
  <c r="BZ249" i="1"/>
  <c r="CA249" i="1"/>
  <c r="CB249" i="1"/>
  <c r="CC249" i="1"/>
  <c r="BX250" i="1"/>
  <c r="CD250" i="1" s="1"/>
  <c r="BY250" i="1"/>
  <c r="BZ250" i="1"/>
  <c r="CA250" i="1"/>
  <c r="CB250" i="1"/>
  <c r="CC250" i="1"/>
  <c r="BX251" i="1"/>
  <c r="CD251" i="1" s="1"/>
  <c r="BY251" i="1"/>
  <c r="BZ251" i="1"/>
  <c r="CA251" i="1"/>
  <c r="CB251" i="1"/>
  <c r="CC251" i="1"/>
  <c r="BX252" i="1"/>
  <c r="BY252" i="1"/>
  <c r="BZ252" i="1"/>
  <c r="CA252" i="1"/>
  <c r="CB252" i="1"/>
  <c r="CC252" i="1"/>
  <c r="BX253" i="1"/>
  <c r="CD253" i="1" s="1"/>
  <c r="BY253" i="1"/>
  <c r="BZ253" i="1"/>
  <c r="CA253" i="1"/>
  <c r="CB253" i="1"/>
  <c r="CC253" i="1"/>
  <c r="BX254" i="1"/>
  <c r="BY254" i="1"/>
  <c r="BZ254" i="1"/>
  <c r="CA254" i="1"/>
  <c r="CB254" i="1"/>
  <c r="CC254" i="1"/>
  <c r="BX255" i="1"/>
  <c r="BY255" i="1"/>
  <c r="BZ255" i="1"/>
  <c r="CA255" i="1"/>
  <c r="CB255" i="1"/>
  <c r="CC255" i="1"/>
  <c r="BX256" i="1"/>
  <c r="BY256" i="1"/>
  <c r="BZ256" i="1"/>
  <c r="CA256" i="1"/>
  <c r="CB256" i="1"/>
  <c r="CC256" i="1"/>
  <c r="BX257" i="1"/>
  <c r="BY257" i="1"/>
  <c r="BZ257" i="1"/>
  <c r="CA257" i="1"/>
  <c r="CB257" i="1"/>
  <c r="CC257" i="1"/>
  <c r="BX258" i="1"/>
  <c r="CD258" i="1" s="1"/>
  <c r="BY258" i="1"/>
  <c r="BZ258" i="1"/>
  <c r="CA258" i="1"/>
  <c r="CB258" i="1"/>
  <c r="CC258" i="1"/>
  <c r="BX259" i="1"/>
  <c r="BY259" i="1"/>
  <c r="BZ259" i="1"/>
  <c r="CA259" i="1"/>
  <c r="CB259" i="1"/>
  <c r="CC259" i="1"/>
  <c r="BX260" i="1"/>
  <c r="BY260" i="1"/>
  <c r="BZ260" i="1"/>
  <c r="CA260" i="1"/>
  <c r="CB260" i="1"/>
  <c r="CC260" i="1"/>
  <c r="BX261" i="1"/>
  <c r="BY261" i="1"/>
  <c r="BZ261" i="1"/>
  <c r="CA261" i="1"/>
  <c r="CB261" i="1"/>
  <c r="CC261" i="1"/>
  <c r="BX262" i="1"/>
  <c r="BY262" i="1"/>
  <c r="BZ262" i="1"/>
  <c r="CA262" i="1"/>
  <c r="CB262" i="1"/>
  <c r="CC262" i="1"/>
  <c r="BX263" i="1"/>
  <c r="CD263" i="1" s="1"/>
  <c r="BY263" i="1"/>
  <c r="BZ263" i="1"/>
  <c r="CA263" i="1"/>
  <c r="CB263" i="1"/>
  <c r="CC263" i="1"/>
  <c r="BX264" i="1"/>
  <c r="CD264" i="1" s="1"/>
  <c r="BY264" i="1"/>
  <c r="BZ264" i="1"/>
  <c r="CA264" i="1"/>
  <c r="CB264" i="1"/>
  <c r="CC264" i="1"/>
  <c r="BX265" i="1"/>
  <c r="BY265" i="1"/>
  <c r="BZ265" i="1"/>
  <c r="CA265" i="1"/>
  <c r="CB265" i="1"/>
  <c r="CC265" i="1"/>
  <c r="BX266" i="1"/>
  <c r="BY266" i="1"/>
  <c r="BZ266" i="1"/>
  <c r="CA266" i="1"/>
  <c r="CB266" i="1"/>
  <c r="CC266" i="1"/>
  <c r="BX267" i="1"/>
  <c r="BY267" i="1"/>
  <c r="BZ267" i="1"/>
  <c r="CA267" i="1"/>
  <c r="CB267" i="1"/>
  <c r="CC267" i="1"/>
  <c r="BX268" i="1"/>
  <c r="CD268" i="1" s="1"/>
  <c r="BY268" i="1"/>
  <c r="BZ268" i="1"/>
  <c r="CA268" i="1"/>
  <c r="CB268" i="1"/>
  <c r="CC268" i="1"/>
  <c r="CC2" i="1"/>
  <c r="CB2" i="1"/>
  <c r="CA2" i="1"/>
  <c r="BZ2" i="1"/>
  <c r="BY2" i="1"/>
  <c r="BX2" i="1"/>
  <c r="CE3" i="1"/>
  <c r="CF3" i="1"/>
  <c r="CG3" i="1"/>
  <c r="CH3" i="1"/>
  <c r="CI3" i="1"/>
  <c r="CE4" i="1"/>
  <c r="CJ4" i="1" s="1"/>
  <c r="CF4" i="1"/>
  <c r="CG4" i="1"/>
  <c r="CH4" i="1"/>
  <c r="CI4" i="1"/>
  <c r="CE5" i="1"/>
  <c r="CF5" i="1"/>
  <c r="CG5" i="1"/>
  <c r="CH5" i="1"/>
  <c r="CI5" i="1"/>
  <c r="CE6" i="1"/>
  <c r="CJ6" i="1" s="1"/>
  <c r="CF6" i="1"/>
  <c r="CG6" i="1"/>
  <c r="CH6" i="1"/>
  <c r="CI6" i="1"/>
  <c r="CE7" i="1"/>
  <c r="CF7" i="1"/>
  <c r="CG7" i="1"/>
  <c r="CH7" i="1"/>
  <c r="CI7" i="1"/>
  <c r="CE8" i="1"/>
  <c r="CF8" i="1"/>
  <c r="CJ8" i="1" s="1"/>
  <c r="CG8" i="1"/>
  <c r="CH8" i="1"/>
  <c r="CI8" i="1"/>
  <c r="CE9" i="1"/>
  <c r="CF9" i="1"/>
  <c r="CG9" i="1"/>
  <c r="CH9" i="1"/>
  <c r="CI9" i="1"/>
  <c r="CE10" i="1"/>
  <c r="CF10" i="1"/>
  <c r="CJ10" i="1" s="1"/>
  <c r="CG10" i="1"/>
  <c r="CH10" i="1"/>
  <c r="CI10" i="1"/>
  <c r="CE11" i="1"/>
  <c r="CJ11" i="1" s="1"/>
  <c r="CF11" i="1"/>
  <c r="CG11" i="1"/>
  <c r="CH11" i="1"/>
  <c r="CI11" i="1"/>
  <c r="CE12" i="1"/>
  <c r="CF12" i="1"/>
  <c r="CG12" i="1"/>
  <c r="CH12" i="1"/>
  <c r="CI12" i="1"/>
  <c r="CE13" i="1"/>
  <c r="CF13" i="1"/>
  <c r="CG13" i="1"/>
  <c r="CH13" i="1"/>
  <c r="CI13" i="1"/>
  <c r="CE14" i="1"/>
  <c r="CJ14" i="1" s="1"/>
  <c r="CF14" i="1"/>
  <c r="CG14" i="1"/>
  <c r="CH14" i="1"/>
  <c r="CI14" i="1"/>
  <c r="CE15" i="1"/>
  <c r="CJ15" i="1" s="1"/>
  <c r="CF15" i="1"/>
  <c r="CG15" i="1"/>
  <c r="CH15" i="1"/>
  <c r="CI15" i="1"/>
  <c r="CE16" i="1"/>
  <c r="CF16" i="1"/>
  <c r="CG16" i="1"/>
  <c r="CH16" i="1"/>
  <c r="CI16" i="1"/>
  <c r="CE17" i="1"/>
  <c r="CF17" i="1"/>
  <c r="CG17" i="1"/>
  <c r="CH17" i="1"/>
  <c r="CI17" i="1"/>
  <c r="CE18" i="1"/>
  <c r="CF18" i="1"/>
  <c r="CG18" i="1"/>
  <c r="CH18" i="1"/>
  <c r="CI18" i="1"/>
  <c r="CJ18" i="1"/>
  <c r="CE19" i="1"/>
  <c r="CF19" i="1"/>
  <c r="CG19" i="1"/>
  <c r="CH19" i="1"/>
  <c r="CI19" i="1"/>
  <c r="CE20" i="1"/>
  <c r="CF20" i="1"/>
  <c r="CG20" i="1"/>
  <c r="CH20" i="1"/>
  <c r="CI20" i="1"/>
  <c r="CJ20" i="1"/>
  <c r="CE21" i="1"/>
  <c r="CF21" i="1"/>
  <c r="CG21" i="1"/>
  <c r="CH21" i="1"/>
  <c r="CI21" i="1"/>
  <c r="CE22" i="1"/>
  <c r="CF22" i="1"/>
  <c r="CG22" i="1"/>
  <c r="CH22" i="1"/>
  <c r="CJ22" i="1" s="1"/>
  <c r="CI22" i="1"/>
  <c r="CE23" i="1"/>
  <c r="CJ23" i="1" s="1"/>
  <c r="CF23" i="1"/>
  <c r="CG23" i="1"/>
  <c r="CH23" i="1"/>
  <c r="CI23" i="1"/>
  <c r="CE24" i="1"/>
  <c r="CF24" i="1"/>
  <c r="CG24" i="1"/>
  <c r="CH24" i="1"/>
  <c r="CI24" i="1"/>
  <c r="CE25" i="1"/>
  <c r="CJ25" i="1" s="1"/>
  <c r="CF25" i="1"/>
  <c r="CG25" i="1"/>
  <c r="CH25" i="1"/>
  <c r="CI25" i="1"/>
  <c r="CE26" i="1"/>
  <c r="CF26" i="1"/>
  <c r="CG26" i="1"/>
  <c r="CH26" i="1"/>
  <c r="CI26" i="1"/>
  <c r="CE27" i="1"/>
  <c r="CJ27" i="1" s="1"/>
  <c r="CF27" i="1"/>
  <c r="CG27" i="1"/>
  <c r="CH27" i="1"/>
  <c r="CI27" i="1"/>
  <c r="CE28" i="1"/>
  <c r="CF28" i="1"/>
  <c r="CG28" i="1"/>
  <c r="CH28" i="1"/>
  <c r="CI28" i="1"/>
  <c r="CE29" i="1"/>
  <c r="CJ29" i="1" s="1"/>
  <c r="CF29" i="1"/>
  <c r="CG29" i="1"/>
  <c r="CH29" i="1"/>
  <c r="CI29" i="1"/>
  <c r="CE30" i="1"/>
  <c r="CF30" i="1"/>
  <c r="CG30" i="1"/>
  <c r="CH30" i="1"/>
  <c r="CJ30" i="1" s="1"/>
  <c r="CI30" i="1"/>
  <c r="CE31" i="1"/>
  <c r="CF31" i="1"/>
  <c r="CG31" i="1"/>
  <c r="CH31" i="1"/>
  <c r="CI31" i="1"/>
  <c r="CJ31" i="1" s="1"/>
  <c r="CE32" i="1"/>
  <c r="CF32" i="1"/>
  <c r="CG32" i="1"/>
  <c r="CH32" i="1"/>
  <c r="CJ32" i="1" s="1"/>
  <c r="CI32" i="1"/>
  <c r="CE33" i="1"/>
  <c r="CF33" i="1"/>
  <c r="CG33" i="1"/>
  <c r="CH33" i="1"/>
  <c r="CI33" i="1"/>
  <c r="CE34" i="1"/>
  <c r="CF34" i="1"/>
  <c r="CG34" i="1"/>
  <c r="CH34" i="1"/>
  <c r="CI34" i="1"/>
  <c r="CE35" i="1"/>
  <c r="CF35" i="1"/>
  <c r="CG35" i="1"/>
  <c r="CH35" i="1"/>
  <c r="CI35" i="1"/>
  <c r="CE36" i="1"/>
  <c r="CF36" i="1"/>
  <c r="CG36" i="1"/>
  <c r="CH36" i="1"/>
  <c r="CI36" i="1"/>
  <c r="CE37" i="1"/>
  <c r="CF37" i="1"/>
  <c r="CG37" i="1"/>
  <c r="CH37" i="1"/>
  <c r="CI37" i="1"/>
  <c r="CE38" i="1"/>
  <c r="CF38" i="1"/>
  <c r="CG38" i="1"/>
  <c r="CH38" i="1"/>
  <c r="CI38" i="1"/>
  <c r="CE39" i="1"/>
  <c r="CF39" i="1"/>
  <c r="CG39" i="1"/>
  <c r="CH39" i="1"/>
  <c r="CI39" i="1"/>
  <c r="CE40" i="1"/>
  <c r="CF40" i="1"/>
  <c r="CG40" i="1"/>
  <c r="CH40" i="1"/>
  <c r="CI40" i="1"/>
  <c r="CE41" i="1"/>
  <c r="CF41" i="1"/>
  <c r="CG41" i="1"/>
  <c r="CH41" i="1"/>
  <c r="CI41" i="1"/>
  <c r="CE42" i="1"/>
  <c r="CF42" i="1"/>
  <c r="CJ42" i="1" s="1"/>
  <c r="CG42" i="1"/>
  <c r="CH42" i="1"/>
  <c r="CI42" i="1"/>
  <c r="CE43" i="1"/>
  <c r="CF43" i="1"/>
  <c r="CG43" i="1"/>
  <c r="CH43" i="1"/>
  <c r="CI43" i="1"/>
  <c r="CE44" i="1"/>
  <c r="CF44" i="1"/>
  <c r="CJ44" i="1" s="1"/>
  <c r="CG44" i="1"/>
  <c r="CH44" i="1"/>
  <c r="CI44" i="1"/>
  <c r="CE45" i="1"/>
  <c r="CF45" i="1"/>
  <c r="CG45" i="1"/>
  <c r="CH45" i="1"/>
  <c r="CI45" i="1"/>
  <c r="CE46" i="1"/>
  <c r="CF46" i="1"/>
  <c r="CG46" i="1"/>
  <c r="CH46" i="1"/>
  <c r="CI46" i="1"/>
  <c r="CE47" i="1"/>
  <c r="CF47" i="1"/>
  <c r="CG47" i="1"/>
  <c r="CH47" i="1"/>
  <c r="CI47" i="1"/>
  <c r="CE48" i="1"/>
  <c r="CF48" i="1"/>
  <c r="CJ48" i="1" s="1"/>
  <c r="CG48" i="1"/>
  <c r="CH48" i="1"/>
  <c r="CI48" i="1"/>
  <c r="CE49" i="1"/>
  <c r="CF49" i="1"/>
  <c r="CG49" i="1"/>
  <c r="CH49" i="1"/>
  <c r="CI49" i="1"/>
  <c r="CE50" i="1"/>
  <c r="CF50" i="1"/>
  <c r="CG50" i="1"/>
  <c r="CH50" i="1"/>
  <c r="CI50" i="1"/>
  <c r="CE51" i="1"/>
  <c r="CF51" i="1"/>
  <c r="CG51" i="1"/>
  <c r="CH51" i="1"/>
  <c r="CI51" i="1"/>
  <c r="CE52" i="1"/>
  <c r="CF52" i="1"/>
  <c r="CG52" i="1"/>
  <c r="CH52" i="1"/>
  <c r="CI52" i="1"/>
  <c r="CE53" i="1"/>
  <c r="CF53" i="1"/>
  <c r="CG53" i="1"/>
  <c r="CH53" i="1"/>
  <c r="CI53" i="1"/>
  <c r="CE54" i="1"/>
  <c r="CF54" i="1"/>
  <c r="CJ54" i="1" s="1"/>
  <c r="CG54" i="1"/>
  <c r="CH54" i="1"/>
  <c r="CI54" i="1"/>
  <c r="CE55" i="1"/>
  <c r="CF55" i="1"/>
  <c r="CG55" i="1"/>
  <c r="CH55" i="1"/>
  <c r="CI55" i="1"/>
  <c r="CE56" i="1"/>
  <c r="CJ56" i="1" s="1"/>
  <c r="CF56" i="1"/>
  <c r="CG56" i="1"/>
  <c r="CH56" i="1"/>
  <c r="CI56" i="1"/>
  <c r="CE57" i="1"/>
  <c r="CF57" i="1"/>
  <c r="CG57" i="1"/>
  <c r="CH57" i="1"/>
  <c r="CI57" i="1"/>
  <c r="CE58" i="1"/>
  <c r="CF58" i="1"/>
  <c r="CG58" i="1"/>
  <c r="CH58" i="1"/>
  <c r="CI58" i="1"/>
  <c r="CE59" i="1"/>
  <c r="CF59" i="1"/>
  <c r="CG59" i="1"/>
  <c r="CH59" i="1"/>
  <c r="CI59" i="1"/>
  <c r="CE60" i="1"/>
  <c r="CF60" i="1"/>
  <c r="CG60" i="1"/>
  <c r="CH60" i="1"/>
  <c r="CI60" i="1"/>
  <c r="CE61" i="1"/>
  <c r="CF61" i="1"/>
  <c r="CG61" i="1"/>
  <c r="CH61" i="1"/>
  <c r="CI61" i="1"/>
  <c r="CE62" i="1"/>
  <c r="CF62" i="1"/>
  <c r="CG62" i="1"/>
  <c r="CH62" i="1"/>
  <c r="CI62" i="1"/>
  <c r="CE63" i="1"/>
  <c r="CF63" i="1"/>
  <c r="CG63" i="1"/>
  <c r="CH63" i="1"/>
  <c r="CI63" i="1"/>
  <c r="CE64" i="1"/>
  <c r="CF64" i="1"/>
  <c r="CG64" i="1"/>
  <c r="CH64" i="1"/>
  <c r="CI64" i="1"/>
  <c r="CE65" i="1"/>
  <c r="CF65" i="1"/>
  <c r="CG65" i="1"/>
  <c r="CH65" i="1"/>
  <c r="CI65" i="1"/>
  <c r="CE66" i="1"/>
  <c r="CF66" i="1"/>
  <c r="CJ66" i="1" s="1"/>
  <c r="CG66" i="1"/>
  <c r="CH66" i="1"/>
  <c r="CI66" i="1"/>
  <c r="CE67" i="1"/>
  <c r="CF67" i="1"/>
  <c r="CG67" i="1"/>
  <c r="CH67" i="1"/>
  <c r="CI67" i="1"/>
  <c r="CE68" i="1"/>
  <c r="CJ68" i="1" s="1"/>
  <c r="CF68" i="1"/>
  <c r="CG68" i="1"/>
  <c r="CH68" i="1"/>
  <c r="CI68" i="1"/>
  <c r="CE69" i="1"/>
  <c r="CJ69" i="1" s="1"/>
  <c r="CF69" i="1"/>
  <c r="CG69" i="1"/>
  <c r="CH69" i="1"/>
  <c r="CI69" i="1"/>
  <c r="CE70" i="1"/>
  <c r="CF70" i="1"/>
  <c r="CG70" i="1"/>
  <c r="CH70" i="1"/>
  <c r="CI70" i="1"/>
  <c r="CE71" i="1"/>
  <c r="CF71" i="1"/>
  <c r="CG71" i="1"/>
  <c r="CH71" i="1"/>
  <c r="CI71" i="1"/>
  <c r="CE72" i="1"/>
  <c r="CF72" i="1"/>
  <c r="CG72" i="1"/>
  <c r="CH72" i="1"/>
  <c r="CI72" i="1"/>
  <c r="CE73" i="1"/>
  <c r="CJ73" i="1" s="1"/>
  <c r="CF73" i="1"/>
  <c r="CG73" i="1"/>
  <c r="CH73" i="1"/>
  <c r="CI73" i="1"/>
  <c r="CE74" i="1"/>
  <c r="CF74" i="1"/>
  <c r="CG74" i="1"/>
  <c r="CH74" i="1"/>
  <c r="CI74" i="1"/>
  <c r="CE75" i="1"/>
  <c r="CF75" i="1"/>
  <c r="CG75" i="1"/>
  <c r="CH75" i="1"/>
  <c r="CI75" i="1"/>
  <c r="CE76" i="1"/>
  <c r="CJ76" i="1" s="1"/>
  <c r="CF76" i="1"/>
  <c r="CG76" i="1"/>
  <c r="CH76" i="1"/>
  <c r="CI76" i="1"/>
  <c r="CE77" i="1"/>
  <c r="CJ77" i="1" s="1"/>
  <c r="CF77" i="1"/>
  <c r="CG77" i="1"/>
  <c r="CH77" i="1"/>
  <c r="CI77" i="1"/>
  <c r="CE78" i="1"/>
  <c r="CF78" i="1"/>
  <c r="CJ78" i="1" s="1"/>
  <c r="CG78" i="1"/>
  <c r="CH78" i="1"/>
  <c r="CI78" i="1"/>
  <c r="CE79" i="1"/>
  <c r="CF79" i="1"/>
  <c r="CG79" i="1"/>
  <c r="CH79" i="1"/>
  <c r="CI79" i="1"/>
  <c r="CE80" i="1"/>
  <c r="CJ80" i="1" s="1"/>
  <c r="CF80" i="1"/>
  <c r="CG80" i="1"/>
  <c r="CH80" i="1"/>
  <c r="CI80" i="1"/>
  <c r="CE81" i="1"/>
  <c r="CJ81" i="1" s="1"/>
  <c r="CF81" i="1"/>
  <c r="CG81" i="1"/>
  <c r="CH81" i="1"/>
  <c r="CI81" i="1"/>
  <c r="CE82" i="1"/>
  <c r="CF82" i="1"/>
  <c r="CG82" i="1"/>
  <c r="CH82" i="1"/>
  <c r="CI82" i="1"/>
  <c r="CE83" i="1"/>
  <c r="CJ83" i="1" s="1"/>
  <c r="CF83" i="1"/>
  <c r="CG83" i="1"/>
  <c r="CH83" i="1"/>
  <c r="CI83" i="1"/>
  <c r="CE84" i="1"/>
  <c r="CF84" i="1"/>
  <c r="CG84" i="1"/>
  <c r="CH84" i="1"/>
  <c r="CI84" i="1"/>
  <c r="CE85" i="1"/>
  <c r="CJ85" i="1" s="1"/>
  <c r="CF85" i="1"/>
  <c r="CG85" i="1"/>
  <c r="CH85" i="1"/>
  <c r="CI85" i="1"/>
  <c r="CE86" i="1"/>
  <c r="CF86" i="1"/>
  <c r="CG86" i="1"/>
  <c r="CH86" i="1"/>
  <c r="CI86" i="1"/>
  <c r="CE87" i="1"/>
  <c r="CJ87" i="1" s="1"/>
  <c r="CF87" i="1"/>
  <c r="CG87" i="1"/>
  <c r="CH87" i="1"/>
  <c r="CI87" i="1"/>
  <c r="CE88" i="1"/>
  <c r="CF88" i="1"/>
  <c r="CG88" i="1"/>
  <c r="CH88" i="1"/>
  <c r="CI88" i="1"/>
  <c r="CE89" i="1"/>
  <c r="CJ89" i="1" s="1"/>
  <c r="CF89" i="1"/>
  <c r="CG89" i="1"/>
  <c r="CH89" i="1"/>
  <c r="CI89" i="1"/>
  <c r="CE90" i="1"/>
  <c r="CF90" i="1"/>
  <c r="CG90" i="1"/>
  <c r="CH90" i="1"/>
  <c r="CI90" i="1"/>
  <c r="CJ90" i="1"/>
  <c r="CE91" i="1"/>
  <c r="CF91" i="1"/>
  <c r="CG91" i="1"/>
  <c r="CH91" i="1"/>
  <c r="CI91" i="1"/>
  <c r="CE92" i="1"/>
  <c r="CJ92" i="1" s="1"/>
  <c r="CF92" i="1"/>
  <c r="CG92" i="1"/>
  <c r="CH92" i="1"/>
  <c r="CI92" i="1"/>
  <c r="CE93" i="1"/>
  <c r="CF93" i="1"/>
  <c r="CG93" i="1"/>
  <c r="CH93" i="1"/>
  <c r="CI93" i="1"/>
  <c r="CE94" i="1"/>
  <c r="CF94" i="1"/>
  <c r="CJ94" i="1" s="1"/>
  <c r="CG94" i="1"/>
  <c r="CH94" i="1"/>
  <c r="CI94" i="1"/>
  <c r="CE95" i="1"/>
  <c r="CJ95" i="1" s="1"/>
  <c r="CF95" i="1"/>
  <c r="CG95" i="1"/>
  <c r="CH95" i="1"/>
  <c r="CI95" i="1"/>
  <c r="CE96" i="1"/>
  <c r="CF96" i="1"/>
  <c r="CG96" i="1"/>
  <c r="CH96" i="1"/>
  <c r="CI96" i="1"/>
  <c r="CE97" i="1"/>
  <c r="CF97" i="1"/>
  <c r="CG97" i="1"/>
  <c r="CH97" i="1"/>
  <c r="CI97" i="1"/>
  <c r="CE98" i="1"/>
  <c r="CF98" i="1"/>
  <c r="CG98" i="1"/>
  <c r="CH98" i="1"/>
  <c r="CI98" i="1"/>
  <c r="CE99" i="1"/>
  <c r="CJ99" i="1" s="1"/>
  <c r="CF99" i="1"/>
  <c r="CG99" i="1"/>
  <c r="CH99" i="1"/>
  <c r="CI99" i="1"/>
  <c r="CE100" i="1"/>
  <c r="CJ100" i="1" s="1"/>
  <c r="CF100" i="1"/>
  <c r="CG100" i="1"/>
  <c r="CH100" i="1"/>
  <c r="CI100" i="1"/>
  <c r="CE101" i="1"/>
  <c r="CF101" i="1"/>
  <c r="CG101" i="1"/>
  <c r="CH101" i="1"/>
  <c r="CI101" i="1"/>
  <c r="CE102" i="1"/>
  <c r="CF102" i="1"/>
  <c r="CJ102" i="1" s="1"/>
  <c r="CG102" i="1"/>
  <c r="CH102" i="1"/>
  <c r="CI102" i="1"/>
  <c r="CE103" i="1"/>
  <c r="CF103" i="1"/>
  <c r="CG103" i="1"/>
  <c r="CH103" i="1"/>
  <c r="CI103" i="1"/>
  <c r="CE104" i="1"/>
  <c r="CF104" i="1"/>
  <c r="CJ104" i="1" s="1"/>
  <c r="CG104" i="1"/>
  <c r="CH104" i="1"/>
  <c r="CI104" i="1"/>
  <c r="CE105" i="1"/>
  <c r="CF105" i="1"/>
  <c r="CG105" i="1"/>
  <c r="CH105" i="1"/>
  <c r="CI105" i="1"/>
  <c r="CE106" i="1"/>
  <c r="CF106" i="1"/>
  <c r="CG106" i="1"/>
  <c r="CH106" i="1"/>
  <c r="CI106" i="1"/>
  <c r="CE107" i="1"/>
  <c r="CF107" i="1"/>
  <c r="CG107" i="1"/>
  <c r="CH107" i="1"/>
  <c r="CI107" i="1"/>
  <c r="CE108" i="1"/>
  <c r="CF108" i="1"/>
  <c r="CG108" i="1"/>
  <c r="CH108" i="1"/>
  <c r="CI108" i="1"/>
  <c r="CE109" i="1"/>
  <c r="CF109" i="1"/>
  <c r="CG109" i="1"/>
  <c r="CH109" i="1"/>
  <c r="CI109" i="1"/>
  <c r="CE110" i="1"/>
  <c r="CJ110" i="1" s="1"/>
  <c r="CF110" i="1"/>
  <c r="CG110" i="1"/>
  <c r="CH110" i="1"/>
  <c r="CI110" i="1"/>
  <c r="CE111" i="1"/>
  <c r="CF111" i="1"/>
  <c r="CG111" i="1"/>
  <c r="CH111" i="1"/>
  <c r="CI111" i="1"/>
  <c r="CE112" i="1"/>
  <c r="CJ112" i="1" s="1"/>
  <c r="CF112" i="1"/>
  <c r="CG112" i="1"/>
  <c r="CH112" i="1"/>
  <c r="CI112" i="1"/>
  <c r="CE113" i="1"/>
  <c r="CF113" i="1"/>
  <c r="CG113" i="1"/>
  <c r="CH113" i="1"/>
  <c r="CI113" i="1"/>
  <c r="CE114" i="1"/>
  <c r="CJ114" i="1" s="1"/>
  <c r="CF114" i="1"/>
  <c r="CG114" i="1"/>
  <c r="CH114" i="1"/>
  <c r="CI114" i="1"/>
  <c r="CE115" i="1"/>
  <c r="CF115" i="1"/>
  <c r="CG115" i="1"/>
  <c r="CH115" i="1"/>
  <c r="CI115" i="1"/>
  <c r="CE116" i="1"/>
  <c r="CJ116" i="1" s="1"/>
  <c r="CF116" i="1"/>
  <c r="CG116" i="1"/>
  <c r="CH116" i="1"/>
  <c r="CI116" i="1"/>
  <c r="CE117" i="1"/>
  <c r="CF117" i="1"/>
  <c r="CG117" i="1"/>
  <c r="CH117" i="1"/>
  <c r="CI117" i="1"/>
  <c r="CE118" i="1"/>
  <c r="CF118" i="1"/>
  <c r="CG118" i="1"/>
  <c r="CH118" i="1"/>
  <c r="CI118" i="1"/>
  <c r="CE119" i="1"/>
  <c r="CF119" i="1"/>
  <c r="CG119" i="1"/>
  <c r="CH119" i="1"/>
  <c r="CI119" i="1"/>
  <c r="CE120" i="1"/>
  <c r="CF120" i="1"/>
  <c r="CG120" i="1"/>
  <c r="CH120" i="1"/>
  <c r="CI120" i="1"/>
  <c r="CE121" i="1"/>
  <c r="CF121" i="1"/>
  <c r="CG121" i="1"/>
  <c r="CH121" i="1"/>
  <c r="CI121" i="1"/>
  <c r="CE122" i="1"/>
  <c r="CF122" i="1"/>
  <c r="CG122" i="1"/>
  <c r="CH122" i="1"/>
  <c r="CI122" i="1"/>
  <c r="CE123" i="1"/>
  <c r="CF123" i="1"/>
  <c r="CG123" i="1"/>
  <c r="CH123" i="1"/>
  <c r="CI123" i="1"/>
  <c r="CE124" i="1"/>
  <c r="CF124" i="1"/>
  <c r="CG124" i="1"/>
  <c r="CH124" i="1"/>
  <c r="CI124" i="1"/>
  <c r="CE125" i="1"/>
  <c r="CF125" i="1"/>
  <c r="CG125" i="1"/>
  <c r="CH125" i="1"/>
  <c r="CI125" i="1"/>
  <c r="CE126" i="1"/>
  <c r="CJ126" i="1" s="1"/>
  <c r="CF126" i="1"/>
  <c r="CG126" i="1"/>
  <c r="CH126" i="1"/>
  <c r="CI126" i="1"/>
  <c r="CE127" i="1"/>
  <c r="CF127" i="1"/>
  <c r="CG127" i="1"/>
  <c r="CH127" i="1"/>
  <c r="CI127" i="1"/>
  <c r="CE128" i="1"/>
  <c r="CF128" i="1"/>
  <c r="CG128" i="1"/>
  <c r="CJ128" i="1" s="1"/>
  <c r="CH128" i="1"/>
  <c r="CI128" i="1"/>
  <c r="CE129" i="1"/>
  <c r="CF129" i="1"/>
  <c r="CJ129" i="1" s="1"/>
  <c r="CG129" i="1"/>
  <c r="CH129" i="1"/>
  <c r="CI129" i="1"/>
  <c r="CE130" i="1"/>
  <c r="CF130" i="1"/>
  <c r="CG130" i="1"/>
  <c r="CH130" i="1"/>
  <c r="CI130" i="1"/>
  <c r="CE131" i="1"/>
  <c r="CF131" i="1"/>
  <c r="CG131" i="1"/>
  <c r="CH131" i="1"/>
  <c r="CI131" i="1"/>
  <c r="CE132" i="1"/>
  <c r="CF132" i="1"/>
  <c r="CJ132" i="1" s="1"/>
  <c r="CG132" i="1"/>
  <c r="CH132" i="1"/>
  <c r="CI132" i="1"/>
  <c r="CE133" i="1"/>
  <c r="CF133" i="1"/>
  <c r="CG133" i="1"/>
  <c r="CH133" i="1"/>
  <c r="CI133" i="1"/>
  <c r="CE134" i="1"/>
  <c r="CF134" i="1"/>
  <c r="CG134" i="1"/>
  <c r="CH134" i="1"/>
  <c r="CI134" i="1"/>
  <c r="CE135" i="1"/>
  <c r="CF135" i="1"/>
  <c r="CG135" i="1"/>
  <c r="CH135" i="1"/>
  <c r="CI135" i="1"/>
  <c r="CE136" i="1"/>
  <c r="CF136" i="1"/>
  <c r="CG136" i="1"/>
  <c r="CH136" i="1"/>
  <c r="CI136" i="1"/>
  <c r="CE137" i="1"/>
  <c r="CF137" i="1"/>
  <c r="CG137" i="1"/>
  <c r="CH137" i="1"/>
  <c r="CI137" i="1"/>
  <c r="CE138" i="1"/>
  <c r="CJ138" i="1" s="1"/>
  <c r="CF138" i="1"/>
  <c r="CG138" i="1"/>
  <c r="CH138" i="1"/>
  <c r="CI138" i="1"/>
  <c r="CE139" i="1"/>
  <c r="CF139" i="1"/>
  <c r="CG139" i="1"/>
  <c r="CH139" i="1"/>
  <c r="CI139" i="1"/>
  <c r="CE140" i="1"/>
  <c r="CF140" i="1"/>
  <c r="CG140" i="1"/>
  <c r="CH140" i="1"/>
  <c r="CI140" i="1"/>
  <c r="CJ140" i="1"/>
  <c r="CE141" i="1"/>
  <c r="CF141" i="1"/>
  <c r="CG141" i="1"/>
  <c r="CH141" i="1"/>
  <c r="CI141" i="1"/>
  <c r="CE142" i="1"/>
  <c r="CF142" i="1"/>
  <c r="CG142" i="1"/>
  <c r="CH142" i="1"/>
  <c r="CI142" i="1"/>
  <c r="CE143" i="1"/>
  <c r="CF143" i="1"/>
  <c r="CG143" i="1"/>
  <c r="CH143" i="1"/>
  <c r="CI143" i="1"/>
  <c r="CE144" i="1"/>
  <c r="CF144" i="1"/>
  <c r="CG144" i="1"/>
  <c r="CH144" i="1"/>
  <c r="CI144" i="1"/>
  <c r="CE145" i="1"/>
  <c r="CF145" i="1"/>
  <c r="CG145" i="1"/>
  <c r="CH145" i="1"/>
  <c r="CI145" i="1"/>
  <c r="CE146" i="1"/>
  <c r="CF146" i="1"/>
  <c r="CG146" i="1"/>
  <c r="CH146" i="1"/>
  <c r="CI146" i="1"/>
  <c r="CE147" i="1"/>
  <c r="CF147" i="1"/>
  <c r="CG147" i="1"/>
  <c r="CH147" i="1"/>
  <c r="CI147" i="1"/>
  <c r="CE148" i="1"/>
  <c r="CF148" i="1"/>
  <c r="CG148" i="1"/>
  <c r="CH148" i="1"/>
  <c r="CI148" i="1"/>
  <c r="CE149" i="1"/>
  <c r="CF149" i="1"/>
  <c r="CG149" i="1"/>
  <c r="CH149" i="1"/>
  <c r="CI149" i="1"/>
  <c r="CE150" i="1"/>
  <c r="CF150" i="1"/>
  <c r="CG150" i="1"/>
  <c r="CJ150" i="1" s="1"/>
  <c r="CH150" i="1"/>
  <c r="CI150" i="1"/>
  <c r="CE151" i="1"/>
  <c r="CF151" i="1"/>
  <c r="CG151" i="1"/>
  <c r="CH151" i="1"/>
  <c r="CI151" i="1"/>
  <c r="CE152" i="1"/>
  <c r="CF152" i="1"/>
  <c r="CJ152" i="1" s="1"/>
  <c r="CG152" i="1"/>
  <c r="CH152" i="1"/>
  <c r="CI152" i="1"/>
  <c r="CE153" i="1"/>
  <c r="CF153" i="1"/>
  <c r="CG153" i="1"/>
  <c r="CH153" i="1"/>
  <c r="CI153" i="1"/>
  <c r="CE154" i="1"/>
  <c r="CF154" i="1"/>
  <c r="CG154" i="1"/>
  <c r="CH154" i="1"/>
  <c r="CI154" i="1"/>
  <c r="CE155" i="1"/>
  <c r="CF155" i="1"/>
  <c r="CG155" i="1"/>
  <c r="CH155" i="1"/>
  <c r="CI155" i="1"/>
  <c r="CE156" i="1"/>
  <c r="CF156" i="1"/>
  <c r="CG156" i="1"/>
  <c r="CH156" i="1"/>
  <c r="CI156" i="1"/>
  <c r="CE157" i="1"/>
  <c r="CJ157" i="1" s="1"/>
  <c r="CF157" i="1"/>
  <c r="CG157" i="1"/>
  <c r="CH157" i="1"/>
  <c r="CI157" i="1"/>
  <c r="CE158" i="1"/>
  <c r="CF158" i="1"/>
  <c r="CG158" i="1"/>
  <c r="CH158" i="1"/>
  <c r="CI158" i="1"/>
  <c r="CE159" i="1"/>
  <c r="CF159" i="1"/>
  <c r="CG159" i="1"/>
  <c r="CH159" i="1"/>
  <c r="CI159" i="1"/>
  <c r="CE160" i="1"/>
  <c r="CF160" i="1"/>
  <c r="CG160" i="1"/>
  <c r="CH160" i="1"/>
  <c r="CI160" i="1"/>
  <c r="CE161" i="1"/>
  <c r="CJ161" i="1" s="1"/>
  <c r="CF161" i="1"/>
  <c r="CG161" i="1"/>
  <c r="CH161" i="1"/>
  <c r="CI161" i="1"/>
  <c r="CE162" i="1"/>
  <c r="CF162" i="1"/>
  <c r="CG162" i="1"/>
  <c r="CH162" i="1"/>
  <c r="CI162" i="1"/>
  <c r="CE163" i="1"/>
  <c r="CF163" i="1"/>
  <c r="CG163" i="1"/>
  <c r="CJ163" i="1" s="1"/>
  <c r="CH163" i="1"/>
  <c r="CI163" i="1"/>
  <c r="CE164" i="1"/>
  <c r="CF164" i="1"/>
  <c r="CJ164" i="1" s="1"/>
  <c r="CG164" i="1"/>
  <c r="CH164" i="1"/>
  <c r="CI164" i="1"/>
  <c r="CE165" i="1"/>
  <c r="CF165" i="1"/>
  <c r="CG165" i="1"/>
  <c r="CH165" i="1"/>
  <c r="CI165" i="1"/>
  <c r="CE166" i="1"/>
  <c r="CF166" i="1"/>
  <c r="CG166" i="1"/>
  <c r="CH166" i="1"/>
  <c r="CI166" i="1"/>
  <c r="CE167" i="1"/>
  <c r="CF167" i="1"/>
  <c r="CJ167" i="1" s="1"/>
  <c r="CG167" i="1"/>
  <c r="CH167" i="1"/>
  <c r="CI167" i="1"/>
  <c r="CE168" i="1"/>
  <c r="CF168" i="1"/>
  <c r="CG168" i="1"/>
  <c r="CH168" i="1"/>
  <c r="CI168" i="1"/>
  <c r="CE169" i="1"/>
  <c r="CF169" i="1"/>
  <c r="CG169" i="1"/>
  <c r="CH169" i="1"/>
  <c r="CI169" i="1"/>
  <c r="CE170" i="1"/>
  <c r="CF170" i="1"/>
  <c r="CG170" i="1"/>
  <c r="CH170" i="1"/>
  <c r="CI170" i="1"/>
  <c r="CE171" i="1"/>
  <c r="CF171" i="1"/>
  <c r="CG171" i="1"/>
  <c r="CH171" i="1"/>
  <c r="CI171" i="1"/>
  <c r="CE172" i="1"/>
  <c r="CF172" i="1"/>
  <c r="CG172" i="1"/>
  <c r="CH172" i="1"/>
  <c r="CI172" i="1"/>
  <c r="CE173" i="1"/>
  <c r="CJ173" i="1" s="1"/>
  <c r="CF173" i="1"/>
  <c r="CG173" i="1"/>
  <c r="CH173" i="1"/>
  <c r="CI173" i="1"/>
  <c r="CE174" i="1"/>
  <c r="CJ174" i="1" s="1"/>
  <c r="CF174" i="1"/>
  <c r="CG174" i="1"/>
  <c r="CH174" i="1"/>
  <c r="CI174" i="1"/>
  <c r="CE175" i="1"/>
  <c r="CF175" i="1"/>
  <c r="CG175" i="1"/>
  <c r="CH175" i="1"/>
  <c r="CI175" i="1"/>
  <c r="CJ175" i="1"/>
  <c r="CE176" i="1"/>
  <c r="CF176" i="1"/>
  <c r="CG176" i="1"/>
  <c r="CH176" i="1"/>
  <c r="CI176" i="1"/>
  <c r="CE177" i="1"/>
  <c r="CF177" i="1"/>
  <c r="CG177" i="1"/>
  <c r="CH177" i="1"/>
  <c r="CI177" i="1"/>
  <c r="CE178" i="1"/>
  <c r="CF178" i="1"/>
  <c r="CG178" i="1"/>
  <c r="CH178" i="1"/>
  <c r="CI178" i="1"/>
  <c r="CE179" i="1"/>
  <c r="CF179" i="1"/>
  <c r="CG179" i="1"/>
  <c r="CH179" i="1"/>
  <c r="CI179" i="1"/>
  <c r="CE180" i="1"/>
  <c r="CF180" i="1"/>
  <c r="CG180" i="1"/>
  <c r="CH180" i="1"/>
  <c r="CI180" i="1"/>
  <c r="CE181" i="1"/>
  <c r="CF181" i="1"/>
  <c r="CG181" i="1"/>
  <c r="CH181" i="1"/>
  <c r="CI181" i="1"/>
  <c r="CE182" i="1"/>
  <c r="CF182" i="1"/>
  <c r="CG182" i="1"/>
  <c r="CH182" i="1"/>
  <c r="CI182" i="1"/>
  <c r="CE183" i="1"/>
  <c r="CF183" i="1"/>
  <c r="CG183" i="1"/>
  <c r="CH183" i="1"/>
  <c r="CI183" i="1"/>
  <c r="CE184" i="1"/>
  <c r="CF184" i="1"/>
  <c r="CG184" i="1"/>
  <c r="CH184" i="1"/>
  <c r="CI184" i="1"/>
  <c r="CE185" i="1"/>
  <c r="CF185" i="1"/>
  <c r="CG185" i="1"/>
  <c r="CJ185" i="1" s="1"/>
  <c r="CH185" i="1"/>
  <c r="CI185" i="1"/>
  <c r="CE186" i="1"/>
  <c r="CF186" i="1"/>
  <c r="CG186" i="1"/>
  <c r="CH186" i="1"/>
  <c r="CI186" i="1"/>
  <c r="CE187" i="1"/>
  <c r="CF187" i="1"/>
  <c r="CJ187" i="1" s="1"/>
  <c r="CG187" i="1"/>
  <c r="CH187" i="1"/>
  <c r="CI187" i="1"/>
  <c r="CE188" i="1"/>
  <c r="CF188" i="1"/>
  <c r="CG188" i="1"/>
  <c r="CH188" i="1"/>
  <c r="CI188" i="1"/>
  <c r="CE189" i="1"/>
  <c r="CJ189" i="1" s="1"/>
  <c r="CF189" i="1"/>
  <c r="CG189" i="1"/>
  <c r="CH189" i="1"/>
  <c r="CI189" i="1"/>
  <c r="CE190" i="1"/>
  <c r="CF190" i="1"/>
  <c r="CG190" i="1"/>
  <c r="CH190" i="1"/>
  <c r="CI190" i="1"/>
  <c r="CE191" i="1"/>
  <c r="CF191" i="1"/>
  <c r="CJ191" i="1" s="1"/>
  <c r="CG191" i="1"/>
  <c r="CH191" i="1"/>
  <c r="CI191" i="1"/>
  <c r="CE192" i="1"/>
  <c r="CF192" i="1"/>
  <c r="CG192" i="1"/>
  <c r="CH192" i="1"/>
  <c r="CI192" i="1"/>
  <c r="CE193" i="1"/>
  <c r="CF193" i="1"/>
  <c r="CJ193" i="1" s="1"/>
  <c r="CG193" i="1"/>
  <c r="CH193" i="1"/>
  <c r="CI193" i="1"/>
  <c r="CE194" i="1"/>
  <c r="CF194" i="1"/>
  <c r="CG194" i="1"/>
  <c r="CH194" i="1"/>
  <c r="CI194" i="1"/>
  <c r="CE195" i="1"/>
  <c r="CF195" i="1"/>
  <c r="CG195" i="1"/>
  <c r="CH195" i="1"/>
  <c r="CI195" i="1"/>
  <c r="CE196" i="1"/>
  <c r="CF196" i="1"/>
  <c r="CG196" i="1"/>
  <c r="CH196" i="1"/>
  <c r="CI196" i="1"/>
  <c r="CE197" i="1"/>
  <c r="CF197" i="1"/>
  <c r="CJ197" i="1" s="1"/>
  <c r="CG197" i="1"/>
  <c r="CH197" i="1"/>
  <c r="CI197" i="1"/>
  <c r="CE198" i="1"/>
  <c r="CF198" i="1"/>
  <c r="CG198" i="1"/>
  <c r="CH198" i="1"/>
  <c r="CI198" i="1"/>
  <c r="CJ198" i="1" s="1"/>
  <c r="CE199" i="1"/>
  <c r="CJ199" i="1" s="1"/>
  <c r="CF199" i="1"/>
  <c r="CG199" i="1"/>
  <c r="CH199" i="1"/>
  <c r="CI199" i="1"/>
  <c r="CE200" i="1"/>
  <c r="CF200" i="1"/>
  <c r="CG200" i="1"/>
  <c r="CH200" i="1"/>
  <c r="CI200" i="1"/>
  <c r="CE201" i="1"/>
  <c r="CJ201" i="1" s="1"/>
  <c r="CF201" i="1"/>
  <c r="CG201" i="1"/>
  <c r="CH201" i="1"/>
  <c r="CI201" i="1"/>
  <c r="CE202" i="1"/>
  <c r="CF202" i="1"/>
  <c r="CG202" i="1"/>
  <c r="CH202" i="1"/>
  <c r="CI202" i="1"/>
  <c r="CE203" i="1"/>
  <c r="CF203" i="1"/>
  <c r="CG203" i="1"/>
  <c r="CH203" i="1"/>
  <c r="CI203" i="1"/>
  <c r="CE204" i="1"/>
  <c r="CF204" i="1"/>
  <c r="CG204" i="1"/>
  <c r="CH204" i="1"/>
  <c r="CI204" i="1"/>
  <c r="CE205" i="1"/>
  <c r="CF205" i="1"/>
  <c r="CG205" i="1"/>
  <c r="CH205" i="1"/>
  <c r="CI205" i="1"/>
  <c r="CE206" i="1"/>
  <c r="CF206" i="1"/>
  <c r="CG206" i="1"/>
  <c r="CH206" i="1"/>
  <c r="CI206" i="1"/>
  <c r="CE207" i="1"/>
  <c r="CF207" i="1"/>
  <c r="CG207" i="1"/>
  <c r="CH207" i="1"/>
  <c r="CI207" i="1"/>
  <c r="CE208" i="1"/>
  <c r="CF208" i="1"/>
  <c r="CG208" i="1"/>
  <c r="CH208" i="1"/>
  <c r="CI208" i="1"/>
  <c r="CE209" i="1"/>
  <c r="CF209" i="1"/>
  <c r="CG209" i="1"/>
  <c r="CH209" i="1"/>
  <c r="CI209" i="1"/>
  <c r="CE210" i="1"/>
  <c r="CF210" i="1"/>
  <c r="CG210" i="1"/>
  <c r="CH210" i="1"/>
  <c r="CI210" i="1"/>
  <c r="CE211" i="1"/>
  <c r="CF211" i="1"/>
  <c r="CG211" i="1"/>
  <c r="CH211" i="1"/>
  <c r="CI211" i="1"/>
  <c r="CE212" i="1"/>
  <c r="CF212" i="1"/>
  <c r="CG212" i="1"/>
  <c r="CH212" i="1"/>
  <c r="CI212" i="1"/>
  <c r="CE213" i="1"/>
  <c r="CJ213" i="1" s="1"/>
  <c r="CF213" i="1"/>
  <c r="CG213" i="1"/>
  <c r="CH213" i="1"/>
  <c r="CI213" i="1"/>
  <c r="CE214" i="1"/>
  <c r="CF214" i="1"/>
  <c r="CG214" i="1"/>
  <c r="CH214" i="1"/>
  <c r="CI214" i="1"/>
  <c r="CE215" i="1"/>
  <c r="CF215" i="1"/>
  <c r="CG215" i="1"/>
  <c r="CH215" i="1"/>
  <c r="CI215" i="1"/>
  <c r="CE216" i="1"/>
  <c r="CF216" i="1"/>
  <c r="CG216" i="1"/>
  <c r="CH216" i="1"/>
  <c r="CI216" i="1"/>
  <c r="CE217" i="1"/>
  <c r="CF217" i="1"/>
  <c r="CG217" i="1"/>
  <c r="CH217" i="1"/>
  <c r="CI217" i="1"/>
  <c r="CE218" i="1"/>
  <c r="CF218" i="1"/>
  <c r="CG218" i="1"/>
  <c r="CH218" i="1"/>
  <c r="CI218" i="1"/>
  <c r="CE219" i="1"/>
  <c r="CJ219" i="1" s="1"/>
  <c r="CF219" i="1"/>
  <c r="CG219" i="1"/>
  <c r="CH219" i="1"/>
  <c r="CI219" i="1"/>
  <c r="CE220" i="1"/>
  <c r="CF220" i="1"/>
  <c r="CG220" i="1"/>
  <c r="CH220" i="1"/>
  <c r="CI220" i="1"/>
  <c r="CE221" i="1"/>
  <c r="CF221" i="1"/>
  <c r="CG221" i="1"/>
  <c r="CJ221" i="1" s="1"/>
  <c r="CH221" i="1"/>
  <c r="CI221" i="1"/>
  <c r="CE222" i="1"/>
  <c r="CF222" i="1"/>
  <c r="CG222" i="1"/>
  <c r="CH222" i="1"/>
  <c r="CI222" i="1"/>
  <c r="CE223" i="1"/>
  <c r="CJ223" i="1" s="1"/>
  <c r="CF223" i="1"/>
  <c r="CG223" i="1"/>
  <c r="CH223" i="1"/>
  <c r="CI223" i="1"/>
  <c r="CE224" i="1"/>
  <c r="CF224" i="1"/>
  <c r="CG224" i="1"/>
  <c r="CH224" i="1"/>
  <c r="CI224" i="1"/>
  <c r="CE225" i="1"/>
  <c r="CF225" i="1"/>
  <c r="CG225" i="1"/>
  <c r="CH225" i="1"/>
  <c r="CI225" i="1"/>
  <c r="CJ225" i="1"/>
  <c r="CE226" i="1"/>
  <c r="CF226" i="1"/>
  <c r="CG226" i="1"/>
  <c r="CH226" i="1"/>
  <c r="CI226" i="1"/>
  <c r="CE227" i="1"/>
  <c r="CF227" i="1"/>
  <c r="CG227" i="1"/>
  <c r="CH227" i="1"/>
  <c r="CI227" i="1"/>
  <c r="CE228" i="1"/>
  <c r="CF228" i="1"/>
  <c r="CG228" i="1"/>
  <c r="CH228" i="1"/>
  <c r="CI228" i="1"/>
  <c r="CE229" i="1"/>
  <c r="CF229" i="1"/>
  <c r="CG229" i="1"/>
  <c r="CH229" i="1"/>
  <c r="CI229" i="1"/>
  <c r="CE230" i="1"/>
  <c r="CF230" i="1"/>
  <c r="CG230" i="1"/>
  <c r="CH230" i="1"/>
  <c r="CI230" i="1"/>
  <c r="CE231" i="1"/>
  <c r="CF231" i="1"/>
  <c r="CG231" i="1"/>
  <c r="CH231" i="1"/>
  <c r="CI231" i="1"/>
  <c r="CE232" i="1"/>
  <c r="CF232" i="1"/>
  <c r="CG232" i="1"/>
  <c r="CH232" i="1"/>
  <c r="CI232" i="1"/>
  <c r="CE233" i="1"/>
  <c r="CF233" i="1"/>
  <c r="CG233" i="1"/>
  <c r="CH233" i="1"/>
  <c r="CJ233" i="1" s="1"/>
  <c r="CI233" i="1"/>
  <c r="CE234" i="1"/>
  <c r="CF234" i="1"/>
  <c r="CG234" i="1"/>
  <c r="CH234" i="1"/>
  <c r="CI234" i="1"/>
  <c r="CE235" i="1"/>
  <c r="CF235" i="1"/>
  <c r="CJ235" i="1" s="1"/>
  <c r="CG235" i="1"/>
  <c r="CH235" i="1"/>
  <c r="CI235" i="1"/>
  <c r="CE236" i="1"/>
  <c r="CF236" i="1"/>
  <c r="CG236" i="1"/>
  <c r="CH236" i="1"/>
  <c r="CI236" i="1"/>
  <c r="CE237" i="1"/>
  <c r="CF237" i="1"/>
  <c r="CG237" i="1"/>
  <c r="CH237" i="1"/>
  <c r="CI237" i="1"/>
  <c r="CE238" i="1"/>
  <c r="CF238" i="1"/>
  <c r="CG238" i="1"/>
  <c r="CH238" i="1"/>
  <c r="CI238" i="1"/>
  <c r="CE239" i="1"/>
  <c r="CF239" i="1"/>
  <c r="CG239" i="1"/>
  <c r="CH239" i="1"/>
  <c r="CI239" i="1"/>
  <c r="CE240" i="1"/>
  <c r="CF240" i="1"/>
  <c r="CG240" i="1"/>
  <c r="CH240" i="1"/>
  <c r="CI240" i="1"/>
  <c r="CE241" i="1"/>
  <c r="CF241" i="1"/>
  <c r="CG241" i="1"/>
  <c r="CH241" i="1"/>
  <c r="CI241" i="1"/>
  <c r="CE242" i="1"/>
  <c r="CF242" i="1"/>
  <c r="CG242" i="1"/>
  <c r="CH242" i="1"/>
  <c r="CI242" i="1"/>
  <c r="CE243" i="1"/>
  <c r="CF243" i="1"/>
  <c r="CG243" i="1"/>
  <c r="CH243" i="1"/>
  <c r="CI243" i="1"/>
  <c r="CE244" i="1"/>
  <c r="CF244" i="1"/>
  <c r="CG244" i="1"/>
  <c r="CH244" i="1"/>
  <c r="CI244" i="1"/>
  <c r="CE245" i="1"/>
  <c r="CF245" i="1"/>
  <c r="CJ245" i="1" s="1"/>
  <c r="CG245" i="1"/>
  <c r="CH245" i="1"/>
  <c r="CI245" i="1"/>
  <c r="CE246" i="1"/>
  <c r="CF246" i="1"/>
  <c r="CG246" i="1"/>
  <c r="CH246" i="1"/>
  <c r="CI246" i="1"/>
  <c r="CJ246" i="1" s="1"/>
  <c r="CE247" i="1"/>
  <c r="CF247" i="1"/>
  <c r="CJ247" i="1" s="1"/>
  <c r="CG247" i="1"/>
  <c r="CH247" i="1"/>
  <c r="CI247" i="1"/>
  <c r="CE248" i="1"/>
  <c r="CF248" i="1"/>
  <c r="CG248" i="1"/>
  <c r="CH248" i="1"/>
  <c r="CI248" i="1"/>
  <c r="CE249" i="1"/>
  <c r="CJ249" i="1" s="1"/>
  <c r="CF249" i="1"/>
  <c r="CG249" i="1"/>
  <c r="CH249" i="1"/>
  <c r="CI249" i="1"/>
  <c r="CE250" i="1"/>
  <c r="CF250" i="1"/>
  <c r="CG250" i="1"/>
  <c r="CH250" i="1"/>
  <c r="CI250" i="1"/>
  <c r="CE251" i="1"/>
  <c r="CF251" i="1"/>
  <c r="CG251" i="1"/>
  <c r="CH251" i="1"/>
  <c r="CI251" i="1"/>
  <c r="CE252" i="1"/>
  <c r="CF252" i="1"/>
  <c r="CG252" i="1"/>
  <c r="CH252" i="1"/>
  <c r="CI252" i="1"/>
  <c r="CE253" i="1"/>
  <c r="CF253" i="1"/>
  <c r="CG253" i="1"/>
  <c r="CH253" i="1"/>
  <c r="CI253" i="1"/>
  <c r="CE254" i="1"/>
  <c r="CF254" i="1"/>
  <c r="CG254" i="1"/>
  <c r="CH254" i="1"/>
  <c r="CI254" i="1"/>
  <c r="CE255" i="1"/>
  <c r="CF255" i="1"/>
  <c r="CG255" i="1"/>
  <c r="CH255" i="1"/>
  <c r="CI255" i="1"/>
  <c r="CE256" i="1"/>
  <c r="CF256" i="1"/>
  <c r="CG256" i="1"/>
  <c r="CH256" i="1"/>
  <c r="CI256" i="1"/>
  <c r="CE257" i="1"/>
  <c r="CJ257" i="1" s="1"/>
  <c r="CF257" i="1"/>
  <c r="CG257" i="1"/>
  <c r="CH257" i="1"/>
  <c r="CI257" i="1"/>
  <c r="CE258" i="1"/>
  <c r="CF258" i="1"/>
  <c r="CG258" i="1"/>
  <c r="CH258" i="1"/>
  <c r="CI258" i="1"/>
  <c r="CE259" i="1"/>
  <c r="CJ259" i="1" s="1"/>
  <c r="CF259" i="1"/>
  <c r="CG259" i="1"/>
  <c r="CH259" i="1"/>
  <c r="CI259" i="1"/>
  <c r="CE260" i="1"/>
  <c r="CF260" i="1"/>
  <c r="CG260" i="1"/>
  <c r="CH260" i="1"/>
  <c r="CI260" i="1"/>
  <c r="CE261" i="1"/>
  <c r="CF261" i="1"/>
  <c r="CG261" i="1"/>
  <c r="CH261" i="1"/>
  <c r="CI261" i="1"/>
  <c r="CJ261" i="1"/>
  <c r="CE262" i="1"/>
  <c r="CF262" i="1"/>
  <c r="CG262" i="1"/>
  <c r="CH262" i="1"/>
  <c r="CI262" i="1"/>
  <c r="CE263" i="1"/>
  <c r="CF263" i="1"/>
  <c r="CJ263" i="1" s="1"/>
  <c r="CG263" i="1"/>
  <c r="CH263" i="1"/>
  <c r="CI263" i="1"/>
  <c r="CE264" i="1"/>
  <c r="CF264" i="1"/>
  <c r="CG264" i="1"/>
  <c r="CH264" i="1"/>
  <c r="CI264" i="1"/>
  <c r="CE265" i="1"/>
  <c r="CF265" i="1"/>
  <c r="CG265" i="1"/>
  <c r="CH265" i="1"/>
  <c r="CI265" i="1"/>
  <c r="CE266" i="1"/>
  <c r="CF266" i="1"/>
  <c r="CG266" i="1"/>
  <c r="CH266" i="1"/>
  <c r="CI266" i="1"/>
  <c r="CE267" i="1"/>
  <c r="CF267" i="1"/>
  <c r="CG267" i="1"/>
  <c r="CH267" i="1"/>
  <c r="CI267" i="1"/>
  <c r="CE268" i="1"/>
  <c r="CF268" i="1"/>
  <c r="CG268" i="1"/>
  <c r="CH268" i="1"/>
  <c r="CI268" i="1"/>
  <c r="CI2" i="1"/>
  <c r="CH2" i="1"/>
  <c r="CG2" i="1"/>
  <c r="CF2" i="1"/>
  <c r="CJ2" i="1" s="1"/>
  <c r="CJ212" i="1" l="1"/>
  <c r="CJ208" i="1"/>
  <c r="CJ200" i="1"/>
  <c r="CJ181" i="1"/>
  <c r="CJ165" i="1"/>
  <c r="CJ130" i="1"/>
  <c r="CJ123" i="1"/>
  <c r="CJ119" i="1"/>
  <c r="CJ103" i="1"/>
  <c r="CJ38" i="1"/>
  <c r="CD219" i="1"/>
  <c r="CD190" i="1"/>
  <c r="CD142" i="1"/>
  <c r="CD136" i="1"/>
  <c r="CD123" i="1"/>
  <c r="CD117" i="1"/>
  <c r="CD95" i="1"/>
  <c r="CD76" i="1"/>
  <c r="CD9" i="1"/>
  <c r="CJ250" i="1"/>
  <c r="CJ234" i="1"/>
  <c r="CJ231" i="1"/>
  <c r="CJ146" i="1"/>
  <c r="CJ84" i="1"/>
  <c r="CJ65" i="1"/>
  <c r="CJ61" i="1"/>
  <c r="CJ57" i="1"/>
  <c r="CD235" i="1"/>
  <c r="CD170" i="1"/>
  <c r="CD155" i="1"/>
  <c r="CD37" i="1"/>
  <c r="CJ265" i="1"/>
  <c r="CJ169" i="1"/>
  <c r="CJ118" i="1"/>
  <c r="CJ111" i="1"/>
  <c r="CJ107" i="1"/>
  <c r="CJ88" i="1"/>
  <c r="CJ26" i="1"/>
  <c r="CJ3" i="1"/>
  <c r="CD104" i="1"/>
  <c r="CD12" i="1"/>
  <c r="CJ243" i="1"/>
  <c r="CJ220" i="1"/>
  <c r="CJ162" i="1"/>
  <c r="CJ215" i="1"/>
  <c r="CJ196" i="1"/>
  <c r="CJ192" i="1"/>
  <c r="CJ153" i="1"/>
  <c r="CJ134" i="1"/>
  <c r="CJ72" i="1"/>
  <c r="CJ53" i="1"/>
  <c r="CJ49" i="1"/>
  <c r="CJ45" i="1"/>
  <c r="CJ33" i="1"/>
  <c r="CD2" i="1"/>
  <c r="CD266" i="1"/>
  <c r="CD257" i="1"/>
  <c r="CD238" i="1"/>
  <c r="CD212" i="1"/>
  <c r="CD199" i="1"/>
  <c r="CD189" i="1"/>
  <c r="CD180" i="1"/>
  <c r="CD164" i="1"/>
  <c r="CD126" i="1"/>
  <c r="CD94" i="1"/>
  <c r="CD40" i="1"/>
  <c r="CD27" i="1"/>
  <c r="CJ106" i="1"/>
  <c r="CD260" i="1"/>
  <c r="CD183" i="1"/>
  <c r="CD154" i="1"/>
  <c r="CD145" i="1"/>
  <c r="CD135" i="1"/>
  <c r="CD107" i="1"/>
  <c r="CD88" i="1"/>
  <c r="CD75" i="1"/>
  <c r="CD69" i="1"/>
  <c r="CD36" i="1"/>
  <c r="CD30" i="1"/>
  <c r="CD22" i="1"/>
  <c r="CD11" i="1"/>
  <c r="CJ137" i="1"/>
  <c r="CJ253" i="1"/>
  <c r="CJ211" i="1"/>
  <c r="CJ207" i="1"/>
  <c r="CJ176" i="1"/>
  <c r="CJ141" i="1"/>
  <c r="CJ122" i="1"/>
  <c r="CJ60" i="1"/>
  <c r="CJ41" i="1"/>
  <c r="CJ37" i="1"/>
  <c r="CJ21" i="1"/>
  <c r="CD228" i="1"/>
  <c r="CD148" i="1"/>
  <c r="CJ195" i="1"/>
  <c r="CJ230" i="1"/>
  <c r="CJ210" i="1"/>
  <c r="CJ184" i="1"/>
  <c r="CJ180" i="1"/>
  <c r="CJ149" i="1"/>
  <c r="CJ145" i="1"/>
  <c r="CJ91" i="1"/>
  <c r="CJ64" i="1"/>
  <c r="CD256" i="1"/>
  <c r="CD173" i="1"/>
  <c r="CD4" i="1"/>
  <c r="CJ52" i="1"/>
  <c r="CD192" i="1"/>
  <c r="CJ260" i="1"/>
  <c r="CJ218" i="1"/>
  <c r="CJ160" i="1"/>
  <c r="CJ117" i="1"/>
  <c r="CJ98" i="1"/>
  <c r="CJ82" i="1"/>
  <c r="CJ75" i="1"/>
  <c r="CJ71" i="1"/>
  <c r="CJ36" i="1"/>
  <c r="CJ17" i="1"/>
  <c r="CJ13" i="1"/>
  <c r="CD249" i="1"/>
  <c r="CD224" i="1"/>
  <c r="CD195" i="1"/>
  <c r="CD163" i="1"/>
  <c r="CD160" i="1"/>
  <c r="CD147" i="1"/>
  <c r="CD141" i="1"/>
  <c r="CD58" i="1"/>
  <c r="CD39" i="1"/>
  <c r="CD21" i="1"/>
  <c r="CJ79" i="1"/>
  <c r="CD182" i="1"/>
  <c r="CD100" i="1"/>
  <c r="CD81" i="1"/>
  <c r="CD14" i="1"/>
  <c r="CJ229" i="1"/>
  <c r="CJ206" i="1"/>
  <c r="CJ179" i="1"/>
  <c r="CJ144" i="1"/>
  <c r="CJ125" i="1"/>
  <c r="CJ121" i="1"/>
  <c r="CJ67" i="1"/>
  <c r="CJ43" i="1"/>
  <c r="CJ40" i="1"/>
  <c r="CD265" i="1"/>
  <c r="CD240" i="1"/>
  <c r="CD128" i="1"/>
  <c r="CD68" i="1"/>
  <c r="CD45" i="1"/>
  <c r="CD42" i="1"/>
  <c r="CJ168" i="1"/>
  <c r="CD201" i="1"/>
  <c r="CD176" i="1"/>
  <c r="CD119" i="1"/>
  <c r="CD87" i="1"/>
  <c r="CD52" i="1"/>
  <c r="CJ214" i="1"/>
  <c r="CJ256" i="1"/>
  <c r="CJ183" i="1"/>
  <c r="CJ148" i="1"/>
  <c r="CJ105" i="1"/>
  <c r="CJ70" i="1"/>
  <c r="CJ63" i="1"/>
  <c r="CJ59" i="1"/>
  <c r="CJ24" i="1"/>
  <c r="CD243" i="1"/>
  <c r="CD230" i="1"/>
  <c r="CD227" i="1"/>
  <c r="CD220" i="1"/>
  <c r="CD191" i="1"/>
  <c r="CD185" i="1"/>
  <c r="CD159" i="1"/>
  <c r="CD118" i="1"/>
  <c r="CD109" i="1"/>
  <c r="CD90" i="1"/>
  <c r="CJ86" i="1"/>
  <c r="CJ28" i="1"/>
  <c r="CD262" i="1"/>
  <c r="CD112" i="1"/>
  <c r="CD93" i="1"/>
  <c r="CD71" i="1"/>
  <c r="CJ5" i="1"/>
  <c r="CJ217" i="1"/>
  <c r="CJ194" i="1"/>
  <c r="CJ190" i="1"/>
  <c r="CJ171" i="1"/>
  <c r="CJ74" i="1"/>
  <c r="CJ58" i="1"/>
  <c r="CJ51" i="1"/>
  <c r="CJ47" i="1"/>
  <c r="CJ12" i="1"/>
  <c r="CD153" i="1"/>
  <c r="CD61" i="1"/>
  <c r="CD48" i="1"/>
  <c r="CD35" i="1"/>
  <c r="CJ133" i="1"/>
  <c r="CJ113" i="1"/>
  <c r="CJ244" i="1"/>
  <c r="CJ236" i="1"/>
  <c r="CJ205" i="1"/>
  <c r="CJ159" i="1"/>
  <c r="CJ155" i="1"/>
  <c r="CJ139" i="1"/>
  <c r="CJ120" i="1"/>
  <c r="CJ101" i="1"/>
  <c r="CJ97" i="1"/>
  <c r="CJ93" i="1"/>
  <c r="CJ19" i="1"/>
  <c r="CJ16" i="1"/>
  <c r="CD261" i="1"/>
  <c r="CD213" i="1"/>
  <c r="CD175" i="1"/>
  <c r="CD165" i="1"/>
  <c r="CD80" i="1"/>
  <c r="CD16" i="1"/>
  <c r="CJ109" i="1"/>
  <c r="CJ251" i="1"/>
  <c r="CJ209" i="1"/>
  <c r="CJ186" i="1"/>
  <c r="CJ151" i="1"/>
  <c r="CJ124" i="1"/>
  <c r="CJ62" i="1"/>
  <c r="CJ46" i="1"/>
  <c r="CJ39" i="1"/>
  <c r="CJ35" i="1"/>
  <c r="CD255" i="1"/>
  <c r="CD242" i="1"/>
  <c r="CD236" i="1"/>
  <c r="CD130" i="1"/>
  <c r="CD121" i="1"/>
  <c r="CD70" i="1"/>
  <c r="CJ172" i="1"/>
  <c r="CJ55" i="1"/>
  <c r="CJ258" i="1"/>
  <c r="CJ255" i="1"/>
  <c r="CJ232" i="1"/>
  <c r="CJ224" i="1"/>
  <c r="CJ182" i="1"/>
  <c r="CJ178" i="1"/>
  <c r="CJ154" i="1"/>
  <c r="CJ147" i="1"/>
  <c r="CJ143" i="1"/>
  <c r="CJ127" i="1"/>
  <c r="CJ108" i="1"/>
  <c r="CD197" i="1"/>
  <c r="CD178" i="1"/>
  <c r="CD124" i="1"/>
  <c r="CD111" i="1"/>
  <c r="CD105" i="1"/>
  <c r="CD34" i="1"/>
  <c r="CD25" i="1"/>
  <c r="CD20" i="1"/>
  <c r="CJ34" i="1"/>
  <c r="CD19" i="1"/>
  <c r="CJ156" i="1"/>
  <c r="CJ7" i="1"/>
  <c r="CD174" i="1"/>
  <c r="CJ262" i="1"/>
  <c r="CJ177" i="1"/>
  <c r="CJ170" i="1"/>
  <c r="CJ158" i="1"/>
  <c r="CJ142" i="1"/>
  <c r="CJ135" i="1"/>
  <c r="CJ131" i="1"/>
  <c r="CJ115" i="1"/>
  <c r="CJ96" i="1"/>
  <c r="CJ50" i="1"/>
  <c r="CD245" i="1"/>
  <c r="CD216" i="1"/>
  <c r="CD187" i="1"/>
  <c r="CD139" i="1"/>
  <c r="CD92" i="1"/>
  <c r="CJ268" i="1"/>
  <c r="CJ222" i="1"/>
  <c r="CJ188" i="1"/>
  <c r="CJ136" i="1"/>
  <c r="CD188" i="1"/>
  <c r="CJ237" i="1"/>
  <c r="CJ166" i="1"/>
  <c r="CJ9" i="1"/>
  <c r="CD229" i="1"/>
  <c r="CD166" i="1"/>
  <c r="CD225" i="1"/>
  <c r="CD206" i="1"/>
  <c r="CD57" i="1"/>
  <c r="CD252" i="1"/>
  <c r="CD233" i="1"/>
  <c r="CD214" i="1"/>
  <c r="CD210" i="1"/>
  <c r="CD208" i="1"/>
  <c r="CD59" i="1"/>
  <c r="CD267" i="1"/>
  <c r="CD204" i="1"/>
  <c r="CD168" i="1"/>
  <c r="CD150" i="1"/>
  <c r="CD32" i="1"/>
  <c r="CD202" i="1"/>
  <c r="CD200" i="1"/>
  <c r="CD194" i="1"/>
  <c r="CD131" i="1"/>
  <c r="CD129" i="1"/>
  <c r="CD51" i="1"/>
  <c r="CD223" i="1"/>
  <c r="CD49" i="1"/>
  <c r="CD47" i="1"/>
  <c r="CD28" i="1"/>
  <c r="CD221" i="1"/>
  <c r="CD140" i="1"/>
  <c r="CD64" i="1"/>
  <c r="CD259" i="1"/>
  <c r="CD157" i="1"/>
  <c r="CD138" i="1"/>
  <c r="CD102" i="1"/>
  <c r="CD85" i="1"/>
  <c r="CD211" i="1"/>
  <c r="CD209" i="1"/>
  <c r="CD207" i="1"/>
  <c r="CD83" i="1"/>
  <c r="CD56" i="1"/>
  <c r="CD33" i="1"/>
  <c r="CD254" i="1"/>
  <c r="CD247" i="1"/>
  <c r="CD237" i="1"/>
  <c r="CD54" i="1"/>
  <c r="CD63" i="1"/>
  <c r="CD66" i="1"/>
  <c r="CJ267" i="1"/>
  <c r="CJ266" i="1"/>
  <c r="CJ241" i="1"/>
  <c r="CJ240" i="1"/>
  <c r="CJ242" i="1"/>
  <c r="CJ203" i="1"/>
  <c r="CJ202" i="1"/>
  <c r="CJ264" i="1"/>
  <c r="CJ238" i="1"/>
  <c r="CJ216" i="1"/>
  <c r="CJ248" i="1"/>
  <c r="CJ227" i="1"/>
  <c r="CJ226" i="1"/>
  <c r="CJ204" i="1"/>
  <c r="CJ239" i="1"/>
  <c r="CJ252" i="1"/>
  <c r="CJ228" i="1"/>
  <c r="CJ254" i="1"/>
</calcChain>
</file>

<file path=xl/sharedStrings.xml><?xml version="1.0" encoding="utf-8"?>
<sst xmlns="http://schemas.openxmlformats.org/spreadsheetml/2006/main" count="5153" uniqueCount="372">
  <si>
    <t xml:space="preserve"> </t>
  </si>
  <si>
    <t>BAST</t>
  </si>
  <si>
    <t>Jacket manufacturer</t>
  </si>
  <si>
    <t>Membrane Logo</t>
  </si>
  <si>
    <t>Colour</t>
  </si>
  <si>
    <t>Size</t>
  </si>
  <si>
    <t>Mens/Womens</t>
  </si>
  <si>
    <t>Year of manufacture</t>
  </si>
  <si>
    <t>Face Material</t>
  </si>
  <si>
    <t>Membrane material</t>
  </si>
  <si>
    <t>Backing material</t>
  </si>
  <si>
    <t>Type</t>
  </si>
  <si>
    <t>Lining</t>
  </si>
  <si>
    <t>Insulation</t>
  </si>
  <si>
    <t>Hood Stiffener</t>
  </si>
  <si>
    <t>Hood wire</t>
  </si>
  <si>
    <t>Face Fabric Hood</t>
  </si>
  <si>
    <t>Face Fabric Neck</t>
  </si>
  <si>
    <t>Face Fabric Shoulders</t>
  </si>
  <si>
    <t>Face Fabric Upper back</t>
  </si>
  <si>
    <t>Face Fabric Lower back</t>
  </si>
  <si>
    <t>Face Fabric Underarms</t>
  </si>
  <si>
    <t>Face Fabric Arms</t>
  </si>
  <si>
    <t>Face Fabric Cuffs</t>
  </si>
  <si>
    <t>Face Fabric Front</t>
  </si>
  <si>
    <t>Face Fabric Average</t>
  </si>
  <si>
    <t>Membrane
 Hood</t>
  </si>
  <si>
    <t>Membrane
 Neck</t>
  </si>
  <si>
    <t>Membrane Shoulders</t>
  </si>
  <si>
    <t>Membrane Upper back</t>
  </si>
  <si>
    <t>Membrane Lower back</t>
  </si>
  <si>
    <t>Membrane Underarms</t>
  </si>
  <si>
    <t>Membrane Arms</t>
  </si>
  <si>
    <t>Membrane Cuffs</t>
  </si>
  <si>
    <t>Membrane Front</t>
  </si>
  <si>
    <t>Membrane Average</t>
  </si>
  <si>
    <t>Seams Hood</t>
  </si>
  <si>
    <t>Seams Neck</t>
  </si>
  <si>
    <t>Seams Shoulders</t>
  </si>
  <si>
    <t>Seams Upper back</t>
  </si>
  <si>
    <t>Seams Lower back</t>
  </si>
  <si>
    <t>Seams Underarms</t>
  </si>
  <si>
    <t>Seams Arms</t>
  </si>
  <si>
    <t>Seams Cuffs</t>
  </si>
  <si>
    <t>Seams Front</t>
  </si>
  <si>
    <t>Velcro Cuffs</t>
  </si>
  <si>
    <t>Stitched</t>
  </si>
  <si>
    <t>Seam Average</t>
  </si>
  <si>
    <t>Zips Central</t>
  </si>
  <si>
    <t>Zips Pockets</t>
  </si>
  <si>
    <t>Zips Armpits</t>
  </si>
  <si>
    <t>Zip Type</t>
  </si>
  <si>
    <t>Zip Average</t>
  </si>
  <si>
    <t>Velcro Central</t>
  </si>
  <si>
    <t>Press Studs Zip end</t>
  </si>
  <si>
    <t>Press Studs Zip central</t>
  </si>
  <si>
    <t>Cords Bottom</t>
  </si>
  <si>
    <t>Cords Hood front</t>
  </si>
  <si>
    <t>Cords Hood back</t>
  </si>
  <si>
    <t>Trims Average</t>
  </si>
  <si>
    <t>TNF</t>
  </si>
  <si>
    <t>Hyvent 2.5L</t>
  </si>
  <si>
    <t>Purple</t>
  </si>
  <si>
    <t>L</t>
  </si>
  <si>
    <t>W</t>
  </si>
  <si>
    <t>PA</t>
  </si>
  <si>
    <t>Dryvent</t>
  </si>
  <si>
    <t>Dark Green</t>
  </si>
  <si>
    <t>XS</t>
  </si>
  <si>
    <t>PES</t>
  </si>
  <si>
    <t>x</t>
  </si>
  <si>
    <t>Hyvent 2.5</t>
  </si>
  <si>
    <t>Black</t>
  </si>
  <si>
    <t>Green</t>
  </si>
  <si>
    <t>S</t>
  </si>
  <si>
    <t>Red</t>
  </si>
  <si>
    <t>Hyvent DT</t>
  </si>
  <si>
    <t>Light blue</t>
  </si>
  <si>
    <t>M</t>
  </si>
  <si>
    <t>Millet</t>
  </si>
  <si>
    <t>Norrona</t>
  </si>
  <si>
    <t>Dri3</t>
  </si>
  <si>
    <t>Orange</t>
  </si>
  <si>
    <t>PU</t>
  </si>
  <si>
    <t>Marmot</t>
  </si>
  <si>
    <t>GTX Pro Shell</t>
  </si>
  <si>
    <t>Grey</t>
  </si>
  <si>
    <t>ePTFE</t>
  </si>
  <si>
    <t>Mountain Equipment</t>
  </si>
  <si>
    <t>Drilite</t>
  </si>
  <si>
    <t>Vaude</t>
  </si>
  <si>
    <t>Ceplex Active</t>
  </si>
  <si>
    <t>2+L</t>
  </si>
  <si>
    <t>Fjällräven</t>
  </si>
  <si>
    <t>Eco-Shell</t>
  </si>
  <si>
    <t>Patagonia</t>
  </si>
  <si>
    <t>Blue</t>
  </si>
  <si>
    <t>Dark blue</t>
  </si>
  <si>
    <t>GTX</t>
  </si>
  <si>
    <t>Peak Performance</t>
  </si>
  <si>
    <t>HiPe</t>
  </si>
  <si>
    <t>Schöffel</t>
  </si>
  <si>
    <t>Venturi</t>
  </si>
  <si>
    <t>Hyvent</t>
  </si>
  <si>
    <t>Green and beige</t>
  </si>
  <si>
    <t>XL</t>
  </si>
  <si>
    <t>Hyvent 2,5</t>
  </si>
  <si>
    <t>Grey and blue</t>
  </si>
  <si>
    <t>Mavic</t>
  </si>
  <si>
    <t>Durarain</t>
  </si>
  <si>
    <t>Ceplex</t>
  </si>
  <si>
    <t>Brown</t>
  </si>
  <si>
    <t>Skyfly</t>
  </si>
  <si>
    <t>XXL</t>
  </si>
  <si>
    <t>Mammut</t>
  </si>
  <si>
    <t>DRYtech</t>
  </si>
  <si>
    <t>Light green</t>
  </si>
  <si>
    <t>SympaTech</t>
  </si>
  <si>
    <t>HYVENTFLASHDRY</t>
  </si>
  <si>
    <t>Helly Hansen</t>
  </si>
  <si>
    <t>Helly Tech</t>
  </si>
  <si>
    <t>Pink and black</t>
  </si>
  <si>
    <t>Berghaus</t>
  </si>
  <si>
    <t>Hydroshell</t>
  </si>
  <si>
    <t>AQ2</t>
  </si>
  <si>
    <t>Hydroloft</t>
  </si>
  <si>
    <t>XXXL</t>
  </si>
  <si>
    <t>Blue/Red</t>
  </si>
  <si>
    <t>Yellow</t>
  </si>
  <si>
    <t>Burton</t>
  </si>
  <si>
    <t>White/ Camo</t>
  </si>
  <si>
    <t>Navy</t>
  </si>
  <si>
    <t>Pink</t>
  </si>
  <si>
    <t>Green/ Grey</t>
  </si>
  <si>
    <t>GTX Paclite Shell</t>
  </si>
  <si>
    <t>Light green/grey</t>
  </si>
  <si>
    <t>Black/orange</t>
  </si>
  <si>
    <t>Navy/White</t>
  </si>
  <si>
    <t>Haglöfs</t>
  </si>
  <si>
    <t>Proof</t>
  </si>
  <si>
    <t>Red/black</t>
  </si>
  <si>
    <t xml:space="preserve"> (info saknas)</t>
  </si>
  <si>
    <t>GTX ShakeDry</t>
  </si>
  <si>
    <t>Lafuma</t>
  </si>
  <si>
    <t>Pink/White/Blue</t>
  </si>
  <si>
    <t>Red/Navy/Blue</t>
  </si>
  <si>
    <t>Blue/Light green</t>
  </si>
  <si>
    <t>Pink/ dark pink</t>
  </si>
  <si>
    <t>Yellow/black</t>
  </si>
  <si>
    <t>Dryedge</t>
  </si>
  <si>
    <t>Black/Navy</t>
  </si>
  <si>
    <t>Arc'teryx</t>
  </si>
  <si>
    <t>Blue/Dark blue</t>
  </si>
  <si>
    <t>GTX Active Shell</t>
  </si>
  <si>
    <t>Grey/brown</t>
  </si>
  <si>
    <t>MEC Mountain Equipment Company</t>
  </si>
  <si>
    <t>eVent</t>
  </si>
  <si>
    <t>Green/Lime</t>
  </si>
  <si>
    <t>Red/Grey</t>
  </si>
  <si>
    <t xml:space="preserve">Berghaus </t>
  </si>
  <si>
    <t>Navy Blue</t>
  </si>
  <si>
    <t>Klättermusen</t>
  </si>
  <si>
    <t xml:space="preserve">Cutan Super Stretch </t>
  </si>
  <si>
    <t>Rosty brown</t>
  </si>
  <si>
    <t>Cutan Stretch RP</t>
  </si>
  <si>
    <t>Cutan Super Stretch</t>
  </si>
  <si>
    <t>Adidas</t>
  </si>
  <si>
    <t>Beige</t>
  </si>
  <si>
    <t>Red and grey</t>
  </si>
  <si>
    <t>Salewa</t>
  </si>
  <si>
    <t>GTX Performance Shell</t>
  </si>
  <si>
    <t>Light blue/ Blue</t>
  </si>
  <si>
    <t>Radys</t>
  </si>
  <si>
    <t>Finnish Trademark</t>
  </si>
  <si>
    <t>ICE Tech</t>
  </si>
  <si>
    <t>Dark yellow</t>
  </si>
  <si>
    <t>Montane</t>
  </si>
  <si>
    <t>Pertex shield+</t>
  </si>
  <si>
    <t>Dri 1</t>
  </si>
  <si>
    <t xml:space="preserve">Dar2b </t>
  </si>
  <si>
    <t>Black/White</t>
  </si>
  <si>
    <t>Pertex shield</t>
  </si>
  <si>
    <t>Vario Shell</t>
  </si>
  <si>
    <t>Red and blue</t>
  </si>
  <si>
    <t>Chrome industries</t>
  </si>
  <si>
    <t>Colombia</t>
  </si>
  <si>
    <t>GTX XCR</t>
  </si>
  <si>
    <t>Dark red</t>
  </si>
  <si>
    <t>Light lemon yellow+Mustard yellow</t>
  </si>
  <si>
    <t>H2no</t>
  </si>
  <si>
    <t xml:space="preserve">Black </t>
  </si>
  <si>
    <t>Khaki green</t>
  </si>
  <si>
    <t>Royal blue</t>
  </si>
  <si>
    <t>Dark chinese violet</t>
  </si>
  <si>
    <t>Neon Orange</t>
  </si>
  <si>
    <t>Magenta pink</t>
  </si>
  <si>
    <t>Smoke Grey</t>
  </si>
  <si>
    <t xml:space="preserve">S </t>
  </si>
  <si>
    <t>Bluish Grey</t>
  </si>
  <si>
    <t>Golden yellow</t>
  </si>
  <si>
    <t>Grey and black</t>
  </si>
  <si>
    <t>White</t>
  </si>
  <si>
    <t>Craft</t>
  </si>
  <si>
    <t>PP</t>
  </si>
  <si>
    <t>L.L. Bean</t>
  </si>
  <si>
    <t>Green and black</t>
  </si>
  <si>
    <t>Navy blue</t>
  </si>
  <si>
    <t>YKK-5VSg</t>
  </si>
  <si>
    <t>Magenta</t>
  </si>
  <si>
    <t>YKK-5CN</t>
  </si>
  <si>
    <t>Lowe alpine</t>
  </si>
  <si>
    <t>Event</t>
  </si>
  <si>
    <t>Loffler</t>
  </si>
  <si>
    <t>GTX WS</t>
  </si>
  <si>
    <t>Jeantex</t>
  </si>
  <si>
    <t>Jeantex t3000</t>
  </si>
  <si>
    <t>YKK-5NO</t>
  </si>
  <si>
    <t>YKK-5VS</t>
  </si>
  <si>
    <t>Jack Wolfskin</t>
  </si>
  <si>
    <t>Activent</t>
  </si>
  <si>
    <t>YKK-5CNi</t>
  </si>
  <si>
    <t>YKK-5CNg</t>
  </si>
  <si>
    <t>Mammut Dry Tech</t>
  </si>
  <si>
    <t>YKK-5CNt</t>
  </si>
  <si>
    <t>Texapore Stretch</t>
  </si>
  <si>
    <t>YKK-5VSt</t>
  </si>
  <si>
    <t>Mammut Dry Tech Premium</t>
  </si>
  <si>
    <t>Kaikkialla</t>
  </si>
  <si>
    <t>Dermizax-EV</t>
  </si>
  <si>
    <t>riri-HD6</t>
  </si>
  <si>
    <t>Lowe Alpine</t>
  </si>
  <si>
    <t>Triple Point Ceramic</t>
  </si>
  <si>
    <t>Light Blue</t>
  </si>
  <si>
    <t>YKK-5Vt</t>
  </si>
  <si>
    <t>Hyvent Alpha</t>
  </si>
  <si>
    <t>YKK-5VSi</t>
  </si>
  <si>
    <t>GTX Comfort Shell</t>
  </si>
  <si>
    <t>Lyngen Windstopper</t>
  </si>
  <si>
    <t>Blue/Black</t>
  </si>
  <si>
    <t>JN</t>
  </si>
  <si>
    <t>Manufacturer</t>
  </si>
  <si>
    <t>Ident</t>
  </si>
  <si>
    <t>M_W</t>
  </si>
  <si>
    <t>YOM</t>
  </si>
  <si>
    <t>Face_Material</t>
  </si>
  <si>
    <t>Membrane_material</t>
  </si>
  <si>
    <t>Backing_material</t>
  </si>
  <si>
    <t>Hood_Stiffener</t>
  </si>
  <si>
    <t>Hood_wire</t>
  </si>
  <si>
    <t>Face_Neck</t>
  </si>
  <si>
    <t>Face_Shoulders</t>
  </si>
  <si>
    <t>Face_Front</t>
  </si>
  <si>
    <t>Face_Back</t>
  </si>
  <si>
    <t>Face_Arms</t>
  </si>
  <si>
    <t>Face_Cuffs</t>
  </si>
  <si>
    <t>Average_Face</t>
  </si>
  <si>
    <t>Membrane_Neck</t>
  </si>
  <si>
    <t>Membrane_Shoulders</t>
  </si>
  <si>
    <t>Membrane_Front</t>
  </si>
  <si>
    <t>Membrane_Back</t>
  </si>
  <si>
    <t>Membrane_Arms</t>
  </si>
  <si>
    <t>Membrane_Cuffs</t>
  </si>
  <si>
    <t>Average_Membrane</t>
  </si>
  <si>
    <t>Seams_Neck</t>
  </si>
  <si>
    <t>Seams_Shoulders</t>
  </si>
  <si>
    <t>Seams_Front</t>
  </si>
  <si>
    <t>Seams_Back</t>
  </si>
  <si>
    <t>Seams_Arms</t>
  </si>
  <si>
    <t>Seams_Cuffs</t>
  </si>
  <si>
    <t>Average_Seams</t>
  </si>
  <si>
    <t>Zips_Central</t>
  </si>
  <si>
    <t>Zips_Pockets</t>
  </si>
  <si>
    <t>Zips_Armpits</t>
  </si>
  <si>
    <t>Zips_Average</t>
  </si>
  <si>
    <t>Velcro_Average</t>
  </si>
  <si>
    <t>Trims_Average</t>
  </si>
  <si>
    <t>Rain_Neck</t>
  </si>
  <si>
    <t>Rain_Shoulders</t>
  </si>
  <si>
    <t>Rain_Front</t>
  </si>
  <si>
    <t>Rain_Back</t>
  </si>
  <si>
    <t>Rain_Arms</t>
  </si>
  <si>
    <t>Average_Rain</t>
  </si>
  <si>
    <t>Rain_Zip</t>
  </si>
  <si>
    <t>Rain_Cuffs</t>
  </si>
  <si>
    <t>Rain_Hem</t>
  </si>
  <si>
    <t>Rain_Underarms</t>
  </si>
  <si>
    <t>Rain_Pockets</t>
  </si>
  <si>
    <t>Weight Before</t>
  </si>
  <si>
    <t>Weight After</t>
  </si>
  <si>
    <t>Weight Increase</t>
  </si>
  <si>
    <t>% Increase</t>
  </si>
  <si>
    <t>Zip Type (Right)</t>
  </si>
  <si>
    <t>VC</t>
  </si>
  <si>
    <t>Aquaguard</t>
  </si>
  <si>
    <t>Flap Type</t>
  </si>
  <si>
    <t>HHP video 1</t>
  </si>
  <si>
    <t>HHP video 2</t>
  </si>
  <si>
    <t>HHP video 3</t>
  </si>
  <si>
    <t>HHP video 4</t>
  </si>
  <si>
    <t>HHP video 5</t>
  </si>
  <si>
    <t>HHP video 6</t>
  </si>
  <si>
    <t>HHP video 7</t>
  </si>
  <si>
    <t>Spray test value 1</t>
  </si>
  <si>
    <t>Spray test value 2</t>
  </si>
  <si>
    <t>Spray test value 3</t>
  </si>
  <si>
    <t>Spray test value 4</t>
  </si>
  <si>
    <t>Spray test value 5</t>
  </si>
  <si>
    <t>Spray test value 6</t>
  </si>
  <si>
    <t>Spray test Average</t>
  </si>
  <si>
    <t>MIN_MEMBRANE</t>
  </si>
  <si>
    <t>MIN_SEAMS</t>
  </si>
  <si>
    <t>MIN_FACE</t>
  </si>
  <si>
    <t>MIN_ZIPS</t>
  </si>
  <si>
    <t>MIN_VELCRO</t>
  </si>
  <si>
    <t>MIN_TRIMS</t>
  </si>
  <si>
    <t>Ranking</t>
  </si>
  <si>
    <t>AVE_Membrane</t>
  </si>
  <si>
    <t>AVE_Seams</t>
  </si>
  <si>
    <t>AVE_Face Fabric</t>
  </si>
  <si>
    <t>AVE_Zips</t>
  </si>
  <si>
    <t>AVE_Trims</t>
  </si>
  <si>
    <t>Total</t>
  </si>
  <si>
    <t>2.5</t>
  </si>
  <si>
    <t>3</t>
  </si>
  <si>
    <t>Vislon</t>
  </si>
  <si>
    <t>Internal</t>
  </si>
  <si>
    <t>Coil</t>
  </si>
  <si>
    <t>N</t>
  </si>
  <si>
    <t>Internal + External</t>
  </si>
  <si>
    <t>PUCoat</t>
  </si>
  <si>
    <t>Y</t>
  </si>
  <si>
    <t>YKK-5VN</t>
  </si>
  <si>
    <t>2LC</t>
  </si>
  <si>
    <t>YKK-5CL</t>
  </si>
  <si>
    <t>External</t>
  </si>
  <si>
    <t>y</t>
  </si>
  <si>
    <t>YKK-8VS</t>
  </si>
  <si>
    <t>YKK-C5L</t>
  </si>
  <si>
    <t>33</t>
  </si>
  <si>
    <t>34</t>
  </si>
  <si>
    <t>no data</t>
  </si>
  <si>
    <t>27</t>
  </si>
  <si>
    <t>pass</t>
  </si>
  <si>
    <t>101</t>
  </si>
  <si>
    <t>26</t>
  </si>
  <si>
    <t>28</t>
  </si>
  <si>
    <t>6</t>
  </si>
  <si>
    <t>29</t>
  </si>
  <si>
    <t>15</t>
  </si>
  <si>
    <t>31</t>
  </si>
  <si>
    <t>35</t>
  </si>
  <si>
    <t>32</t>
  </si>
  <si>
    <t>59</t>
  </si>
  <si>
    <t>23</t>
  </si>
  <si>
    <t>11</t>
  </si>
  <si>
    <t>24</t>
  </si>
  <si>
    <t>2</t>
  </si>
  <si>
    <t>36</t>
  </si>
  <si>
    <t>17</t>
  </si>
  <si>
    <t>21</t>
  </si>
  <si>
    <t>holding 1</t>
  </si>
  <si>
    <t>25</t>
  </si>
  <si>
    <t>13</t>
  </si>
  <si>
    <t>18</t>
  </si>
  <si>
    <t>12</t>
  </si>
  <si>
    <t>38</t>
  </si>
  <si>
    <t>holding 3</t>
  </si>
  <si>
    <t>19</t>
  </si>
  <si>
    <t>30</t>
  </si>
  <si>
    <t>172</t>
  </si>
  <si>
    <t>Stio</t>
  </si>
  <si>
    <t>3.5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</si>
</sst>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Aptos Light"/>
    </font>
    <font>
      <sz val="11"/>
      <color theme="1"/>
      <name val="Aptos Light"/>
      <family val="2"/>
    </font>
    <font>
      <b/>
      <sz val="12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0"/>
      <color rgb="FF000000"/>
      <name val="Calibri"/>
      <scheme val="minor"/>
    </font>
    <font>
      <sz val="9"/>
      <color rgb="FF000000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63">
    <xf numFmtId="0" fontId="0" fillId="0" borderId="0" xfId="0"/>
    <xf numFmtId="0" fontId="2" fillId="0" borderId="0" xfId="1" applyAlignment="1">
      <alignment vertical="top" wrapText="1"/>
    </xf>
    <xf numFmtId="0" fontId="0" fillId="0" borderId="1" xfId="0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0" fillId="0" borderId="1" xfId="0" applyBorder="1"/>
    <xf numFmtId="0" fontId="4" fillId="3" borderId="1" xfId="0" applyFont="1" applyFill="1" applyBorder="1" applyAlignment="1">
      <alignment wrapText="1"/>
    </xf>
    <xf numFmtId="0" fontId="0" fillId="4" borderId="1" xfId="0" applyFill="1" applyBorder="1"/>
    <xf numFmtId="0" fontId="2" fillId="5" borderId="1" xfId="1" applyFill="1" applyBorder="1" applyAlignment="1">
      <alignment vertical="top" wrapText="1"/>
    </xf>
    <xf numFmtId="0" fontId="2" fillId="6" borderId="1" xfId="1" applyFill="1" applyBorder="1" applyAlignment="1">
      <alignment vertical="top" wrapText="1"/>
    </xf>
    <xf numFmtId="0" fontId="2" fillId="0" borderId="0" xfId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5" borderId="1" xfId="1" applyFill="1" applyBorder="1"/>
    <xf numFmtId="0" fontId="2" fillId="6" borderId="1" xfId="1" applyFill="1" applyBorder="1"/>
    <xf numFmtId="0" fontId="0" fillId="2" borderId="1" xfId="0" applyFill="1" applyBorder="1"/>
    <xf numFmtId="0" fontId="0" fillId="3" borderId="1" xfId="0" applyFill="1" applyBorder="1"/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/>
    <xf numFmtId="164" fontId="1" fillId="0" borderId="0" xfId="0" applyNumberFormat="1" applyFont="1" applyAlignment="1">
      <alignment horizontal="center"/>
    </xf>
    <xf numFmtId="164" fontId="2" fillId="0" borderId="0" xfId="1" applyNumberFormat="1"/>
    <xf numFmtId="164" fontId="1" fillId="7" borderId="0" xfId="0" applyNumberFormat="1" applyFont="1" applyFill="1"/>
    <xf numFmtId="0" fontId="1" fillId="8" borderId="1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5" fillId="8" borderId="1" xfId="0" applyFont="1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 wrapText="1"/>
    </xf>
    <xf numFmtId="0" fontId="0" fillId="9" borderId="0" xfId="0" applyFill="1" applyAlignment="1">
      <alignment horizontal="center" wrapText="1"/>
    </xf>
    <xf numFmtId="0" fontId="0" fillId="8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9" borderId="0" xfId="0" applyFill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1" fillId="8" borderId="1" xfId="0" applyFont="1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1" fillId="8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6" borderId="0" xfId="0" applyFill="1"/>
    <xf numFmtId="0" fontId="0" fillId="3" borderId="0" xfId="0" applyFill="1" applyAlignment="1">
      <alignment horizontal="center" wrapText="1"/>
    </xf>
    <xf numFmtId="0" fontId="7" fillId="5" borderId="0" xfId="0" applyFont="1" applyFill="1" applyAlignment="1">
      <alignment horizontal="center" wrapText="1"/>
    </xf>
    <xf numFmtId="0" fontId="8" fillId="5" borderId="0" xfId="0" applyFont="1" applyFill="1" applyAlignment="1">
      <alignment horizontal="center" wrapText="1"/>
    </xf>
    <xf numFmtId="0" fontId="0" fillId="10" borderId="0" xfId="0" applyFill="1" applyAlignment="1">
      <alignment horizontal="left"/>
    </xf>
    <xf numFmtId="0" fontId="0" fillId="0" borderId="1" xfId="0" applyBorder="1" applyAlignment="1">
      <alignment horizontal="center" wrapText="1"/>
    </xf>
    <xf numFmtId="0" fontId="2" fillId="0" borderId="0" xfId="1" applyAlignment="1">
      <alignment horizontal="left"/>
    </xf>
  </cellXfs>
  <cellStyles count="2">
    <cellStyle name="Normal" xfId="0" builtinId="0"/>
    <cellStyle name="Normal 2" xfId="1" xr:uid="{49E2A240-9581-47B8-ABBA-30057D52CCD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DA1F0-7E9F-4844-91AA-BE2D3995E835}">
  <dimension ref="A1:BK256"/>
  <sheetViews>
    <sheetView topLeftCell="A60" zoomScaleNormal="100" workbookViewId="0">
      <selection activeCell="N259" sqref="N259"/>
    </sheetView>
  </sheetViews>
  <sheetFormatPr defaultRowHeight="15"/>
  <sheetData>
    <row r="1" spans="1:63" ht="60">
      <c r="A1" s="23" t="s">
        <v>0</v>
      </c>
      <c r="B1" s="24" t="s">
        <v>1</v>
      </c>
      <c r="C1" s="25" t="s">
        <v>2</v>
      </c>
      <c r="D1" s="26" t="s">
        <v>3</v>
      </c>
      <c r="E1" s="26" t="s">
        <v>4</v>
      </c>
      <c r="F1" s="27" t="s">
        <v>5</v>
      </c>
      <c r="G1" s="26" t="s">
        <v>6</v>
      </c>
      <c r="H1" s="26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28" t="s">
        <v>12</v>
      </c>
      <c r="N1" s="28" t="s">
        <v>13</v>
      </c>
      <c r="O1" s="28" t="s">
        <v>14</v>
      </c>
      <c r="P1" s="28" t="s">
        <v>15</v>
      </c>
      <c r="Q1" s="23" t="s">
        <v>16</v>
      </c>
      <c r="R1" s="23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23" t="s">
        <v>22</v>
      </c>
      <c r="X1" s="23" t="s">
        <v>23</v>
      </c>
      <c r="Y1" s="23" t="s">
        <v>24</v>
      </c>
      <c r="Z1" s="23" t="s">
        <v>25</v>
      </c>
      <c r="AA1" s="29" t="s">
        <v>26</v>
      </c>
      <c r="AB1" s="29" t="s">
        <v>27</v>
      </c>
      <c r="AC1" s="29" t="s">
        <v>28</v>
      </c>
      <c r="AD1" s="29" t="s">
        <v>29</v>
      </c>
      <c r="AE1" s="29" t="s">
        <v>30</v>
      </c>
      <c r="AF1" s="29" t="s">
        <v>31</v>
      </c>
      <c r="AG1" s="29" t="s">
        <v>32</v>
      </c>
      <c r="AH1" s="29" t="s">
        <v>33</v>
      </c>
      <c r="AI1" s="29" t="s">
        <v>34</v>
      </c>
      <c r="AJ1" s="29" t="s">
        <v>35</v>
      </c>
      <c r="AK1" s="23" t="s">
        <v>36</v>
      </c>
      <c r="AL1" s="23" t="s">
        <v>37</v>
      </c>
      <c r="AM1" s="23" t="s">
        <v>38</v>
      </c>
      <c r="AN1" s="23" t="s">
        <v>39</v>
      </c>
      <c r="AO1" s="23" t="s">
        <v>40</v>
      </c>
      <c r="AP1" s="23" t="s">
        <v>41</v>
      </c>
      <c r="AQ1" s="23" t="s">
        <v>42</v>
      </c>
      <c r="AR1" s="23" t="s">
        <v>43</v>
      </c>
      <c r="AS1" s="23" t="s">
        <v>44</v>
      </c>
      <c r="AT1" s="23" t="s">
        <v>45</v>
      </c>
      <c r="AU1" s="23" t="s">
        <v>46</v>
      </c>
      <c r="AV1" s="23" t="s">
        <v>47</v>
      </c>
      <c r="AW1" s="30" t="s">
        <v>48</v>
      </c>
      <c r="AX1" s="30" t="s">
        <v>49</v>
      </c>
      <c r="AY1" s="30" t="s">
        <v>50</v>
      </c>
      <c r="AZ1" s="30" t="s">
        <v>51</v>
      </c>
      <c r="BA1" s="30" t="s">
        <v>52</v>
      </c>
      <c r="BB1" s="31" t="s">
        <v>45</v>
      </c>
      <c r="BC1" s="31" t="s">
        <v>53</v>
      </c>
      <c r="BD1" s="32" t="s">
        <v>54</v>
      </c>
      <c r="BE1" s="32" t="s">
        <v>55</v>
      </c>
      <c r="BF1" s="33" t="s">
        <v>56</v>
      </c>
      <c r="BG1" s="33" t="s">
        <v>57</v>
      </c>
      <c r="BH1" s="33" t="s">
        <v>58</v>
      </c>
      <c r="BI1" s="33" t="s">
        <v>59</v>
      </c>
      <c r="BJ1" s="34"/>
      <c r="BK1" s="34"/>
    </row>
    <row r="2" spans="1:63" ht="16.5" customHeight="1">
      <c r="A2" s="35">
        <v>1</v>
      </c>
      <c r="B2" s="36" t="b">
        <v>0</v>
      </c>
      <c r="C2" s="37" t="s">
        <v>60</v>
      </c>
      <c r="D2" s="37" t="s">
        <v>61</v>
      </c>
      <c r="E2" s="38" t="s">
        <v>62</v>
      </c>
      <c r="F2" s="38" t="s">
        <v>63</v>
      </c>
      <c r="G2" s="38" t="s">
        <v>64</v>
      </c>
      <c r="H2" s="38"/>
      <c r="I2" s="39" t="s">
        <v>65</v>
      </c>
      <c r="J2" s="39" t="s">
        <v>65</v>
      </c>
      <c r="K2" s="39"/>
      <c r="L2" s="39">
        <v>2.5</v>
      </c>
      <c r="M2" s="39"/>
      <c r="N2" s="39"/>
      <c r="O2" s="39"/>
      <c r="P2" s="39"/>
      <c r="Q2" s="40">
        <v>5</v>
      </c>
      <c r="R2" s="40">
        <v>5</v>
      </c>
      <c r="S2" s="40">
        <v>5</v>
      </c>
      <c r="T2" s="40">
        <v>5</v>
      </c>
      <c r="U2" s="40">
        <v>5</v>
      </c>
      <c r="V2" s="40">
        <v>5</v>
      </c>
      <c r="W2" s="40">
        <v>5</v>
      </c>
      <c r="X2" s="40">
        <v>3</v>
      </c>
      <c r="Y2" s="40"/>
      <c r="Z2" s="40">
        <f>AVERAGE(Q2:Y2)</f>
        <v>4.75</v>
      </c>
      <c r="AA2" s="41">
        <v>5</v>
      </c>
      <c r="AB2" s="41">
        <v>1</v>
      </c>
      <c r="AC2" s="41">
        <v>4</v>
      </c>
      <c r="AD2" s="41">
        <v>4</v>
      </c>
      <c r="AE2" s="41">
        <v>4</v>
      </c>
      <c r="AF2" s="41">
        <v>1</v>
      </c>
      <c r="AG2" s="41">
        <v>4</v>
      </c>
      <c r="AH2" s="41">
        <v>2</v>
      </c>
      <c r="AI2" s="41"/>
      <c r="AJ2" s="41">
        <f>AVERAGE(AA2:AI2)</f>
        <v>3.125</v>
      </c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>
        <v>3</v>
      </c>
      <c r="AW2" s="42">
        <v>5</v>
      </c>
      <c r="AX2" s="42">
        <v>5</v>
      </c>
      <c r="AY2" s="42">
        <v>5</v>
      </c>
      <c r="AZ2" s="42"/>
      <c r="BA2" s="42">
        <f>AVERAGE(AW2:AY2)</f>
        <v>5</v>
      </c>
      <c r="BB2" s="43">
        <v>5</v>
      </c>
      <c r="BC2" s="43">
        <v>5</v>
      </c>
      <c r="BD2" s="44">
        <v>5</v>
      </c>
      <c r="BE2" s="44"/>
      <c r="BF2" s="45">
        <v>5</v>
      </c>
      <c r="BG2" s="45">
        <v>5</v>
      </c>
      <c r="BH2" s="45">
        <v>5</v>
      </c>
      <c r="BI2" s="45">
        <f t="shared" ref="BI2:BI65" si="0">AVERAGE(BB2:BH2)</f>
        <v>5</v>
      </c>
    </row>
    <row r="3" spans="1:63" ht="16.5" customHeight="1">
      <c r="A3" s="35">
        <v>2</v>
      </c>
      <c r="B3" s="36" t="b">
        <v>0</v>
      </c>
      <c r="C3" s="37" t="s">
        <v>60</v>
      </c>
      <c r="D3" s="37" t="s">
        <v>66</v>
      </c>
      <c r="E3" s="38" t="s">
        <v>67</v>
      </c>
      <c r="F3" s="38" t="s">
        <v>68</v>
      </c>
      <c r="G3" s="38" t="s">
        <v>64</v>
      </c>
      <c r="H3" s="38"/>
      <c r="I3" s="46" t="s">
        <v>69</v>
      </c>
      <c r="J3" s="39" t="s">
        <v>69</v>
      </c>
      <c r="K3" s="39"/>
      <c r="L3" s="39">
        <v>2.5</v>
      </c>
      <c r="M3" s="39"/>
      <c r="N3" s="39"/>
      <c r="O3" s="39" t="s">
        <v>70</v>
      </c>
      <c r="P3" s="39"/>
      <c r="Q3" s="40">
        <v>5</v>
      </c>
      <c r="R3" s="40">
        <v>5</v>
      </c>
      <c r="S3" s="40">
        <v>5</v>
      </c>
      <c r="T3" s="40">
        <v>5</v>
      </c>
      <c r="U3" s="40">
        <v>5</v>
      </c>
      <c r="V3" s="40">
        <v>5</v>
      </c>
      <c r="W3" s="40">
        <v>5</v>
      </c>
      <c r="X3" s="40">
        <v>5</v>
      </c>
      <c r="Y3" s="40"/>
      <c r="Z3" s="40">
        <f t="shared" ref="Z3:Z66" si="1">AVERAGE(Q3:Y3)</f>
        <v>5</v>
      </c>
      <c r="AA3" s="41">
        <v>1</v>
      </c>
      <c r="AB3" s="41">
        <v>1</v>
      </c>
      <c r="AC3" s="41">
        <v>5</v>
      </c>
      <c r="AD3" s="41">
        <v>5</v>
      </c>
      <c r="AE3" s="41">
        <v>5</v>
      </c>
      <c r="AF3" s="41">
        <v>5</v>
      </c>
      <c r="AG3" s="41">
        <v>5</v>
      </c>
      <c r="AH3" s="41">
        <v>5</v>
      </c>
      <c r="AI3" s="41"/>
      <c r="AJ3" s="41">
        <f t="shared" ref="AJ3:AJ66" si="2">AVERAGE(AA3:AI3)</f>
        <v>4</v>
      </c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>
        <v>5</v>
      </c>
      <c r="AW3" s="42">
        <v>5</v>
      </c>
      <c r="AX3" s="42">
        <v>5</v>
      </c>
      <c r="AY3" s="42">
        <v>5</v>
      </c>
      <c r="AZ3" s="42"/>
      <c r="BA3" s="42">
        <f t="shared" ref="BA3:BA66" si="3">AVERAGE(AW3:AY3)</f>
        <v>5</v>
      </c>
      <c r="BB3" s="43">
        <v>5</v>
      </c>
      <c r="BC3" s="43"/>
      <c r="BD3" s="44"/>
      <c r="BE3" s="44"/>
      <c r="BF3" s="45">
        <v>5</v>
      </c>
      <c r="BG3" s="45">
        <v>5</v>
      </c>
      <c r="BH3" s="45">
        <v>5</v>
      </c>
      <c r="BI3" s="45">
        <f t="shared" si="0"/>
        <v>5</v>
      </c>
    </row>
    <row r="4" spans="1:63" ht="16.5" customHeight="1">
      <c r="A4" s="35">
        <v>3</v>
      </c>
      <c r="B4" s="36" t="b">
        <v>0</v>
      </c>
      <c r="C4" s="37" t="s">
        <v>60</v>
      </c>
      <c r="D4" s="37" t="s">
        <v>71</v>
      </c>
      <c r="E4" s="38" t="s">
        <v>72</v>
      </c>
      <c r="F4" s="38" t="s">
        <v>63</v>
      </c>
      <c r="G4" s="38" t="s">
        <v>64</v>
      </c>
      <c r="H4" s="38"/>
      <c r="I4" s="39" t="s">
        <v>65</v>
      </c>
      <c r="J4" s="39" t="s">
        <v>65</v>
      </c>
      <c r="K4" s="39"/>
      <c r="L4" s="39">
        <v>2.5</v>
      </c>
      <c r="M4" s="39"/>
      <c r="N4" s="39"/>
      <c r="O4" s="39"/>
      <c r="P4" s="39"/>
      <c r="Q4" s="40">
        <v>5</v>
      </c>
      <c r="R4" s="40">
        <v>5</v>
      </c>
      <c r="S4" s="40">
        <v>5</v>
      </c>
      <c r="T4" s="40">
        <v>5</v>
      </c>
      <c r="U4" s="40">
        <v>5</v>
      </c>
      <c r="V4" s="40">
        <v>5</v>
      </c>
      <c r="W4" s="40">
        <v>5</v>
      </c>
      <c r="X4" s="40">
        <v>5</v>
      </c>
      <c r="Y4" s="40"/>
      <c r="Z4" s="40">
        <f t="shared" si="1"/>
        <v>5</v>
      </c>
      <c r="AA4" s="41">
        <v>5</v>
      </c>
      <c r="AB4" s="41">
        <v>1</v>
      </c>
      <c r="AC4" s="41">
        <v>5</v>
      </c>
      <c r="AD4" s="41">
        <v>5</v>
      </c>
      <c r="AE4" s="41">
        <v>5</v>
      </c>
      <c r="AF4" s="41">
        <v>5</v>
      </c>
      <c r="AG4" s="41">
        <v>5</v>
      </c>
      <c r="AH4" s="41">
        <v>5</v>
      </c>
      <c r="AI4" s="41"/>
      <c r="AJ4" s="41">
        <f t="shared" si="2"/>
        <v>4.5</v>
      </c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>
        <v>5</v>
      </c>
      <c r="AW4" s="42">
        <v>5</v>
      </c>
      <c r="AX4" s="42">
        <v>5</v>
      </c>
      <c r="AY4" s="42">
        <v>5</v>
      </c>
      <c r="AZ4" s="42"/>
      <c r="BA4" s="42">
        <f t="shared" si="3"/>
        <v>5</v>
      </c>
      <c r="BB4" s="43">
        <v>5</v>
      </c>
      <c r="BC4" s="43">
        <v>5</v>
      </c>
      <c r="BD4" s="44">
        <v>5</v>
      </c>
      <c r="BE4" s="44"/>
      <c r="BF4" s="45">
        <v>5</v>
      </c>
      <c r="BG4" s="45">
        <v>5</v>
      </c>
      <c r="BH4" s="45">
        <v>5</v>
      </c>
      <c r="BI4" s="45">
        <f t="shared" si="0"/>
        <v>5</v>
      </c>
    </row>
    <row r="5" spans="1:63" ht="16.5" customHeight="1">
      <c r="A5" s="35">
        <v>4</v>
      </c>
      <c r="B5" s="36" t="b">
        <v>0</v>
      </c>
      <c r="C5" s="37" t="s">
        <v>60</v>
      </c>
      <c r="D5" s="37" t="s">
        <v>61</v>
      </c>
      <c r="E5" s="38" t="s">
        <v>73</v>
      </c>
      <c r="F5" s="38" t="s">
        <v>74</v>
      </c>
      <c r="G5" s="38" t="s">
        <v>64</v>
      </c>
      <c r="H5" s="38"/>
      <c r="I5" s="39" t="s">
        <v>65</v>
      </c>
      <c r="J5" s="39" t="s">
        <v>65</v>
      </c>
      <c r="K5" s="39"/>
      <c r="L5" s="39">
        <v>2.5</v>
      </c>
      <c r="M5" s="39"/>
      <c r="N5" s="39"/>
      <c r="O5" s="39"/>
      <c r="P5" s="39"/>
      <c r="Q5" s="40">
        <v>5</v>
      </c>
      <c r="R5" s="40">
        <v>5</v>
      </c>
      <c r="S5" s="40">
        <v>5</v>
      </c>
      <c r="T5" s="40">
        <v>5</v>
      </c>
      <c r="U5" s="40">
        <v>5</v>
      </c>
      <c r="V5" s="40">
        <v>5</v>
      </c>
      <c r="W5" s="40">
        <v>5</v>
      </c>
      <c r="X5" s="40">
        <v>5</v>
      </c>
      <c r="Y5" s="40"/>
      <c r="Z5" s="40">
        <f t="shared" si="1"/>
        <v>5</v>
      </c>
      <c r="AA5" s="41">
        <v>4</v>
      </c>
      <c r="AB5" s="41">
        <v>1</v>
      </c>
      <c r="AC5" s="41">
        <v>5</v>
      </c>
      <c r="AD5" s="41">
        <v>5</v>
      </c>
      <c r="AE5" s="41">
        <v>5</v>
      </c>
      <c r="AF5" s="41">
        <v>5</v>
      </c>
      <c r="AG5" s="41">
        <v>5</v>
      </c>
      <c r="AH5" s="41">
        <v>5</v>
      </c>
      <c r="AI5" s="41"/>
      <c r="AJ5" s="41">
        <f t="shared" si="2"/>
        <v>4.375</v>
      </c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>
        <v>5</v>
      </c>
      <c r="AW5" s="42">
        <v>5</v>
      </c>
      <c r="AX5" s="42">
        <v>5</v>
      </c>
      <c r="AY5" s="42">
        <v>5</v>
      </c>
      <c r="AZ5" s="42"/>
      <c r="BA5" s="42">
        <f t="shared" si="3"/>
        <v>5</v>
      </c>
      <c r="BB5" s="43">
        <v>5</v>
      </c>
      <c r="BC5" s="43">
        <v>5</v>
      </c>
      <c r="BD5" s="44">
        <v>5</v>
      </c>
      <c r="BE5" s="44"/>
      <c r="BF5" s="45">
        <v>5</v>
      </c>
      <c r="BG5" s="45">
        <v>5</v>
      </c>
      <c r="BH5" s="45">
        <v>5</v>
      </c>
      <c r="BI5" s="45">
        <f t="shared" si="0"/>
        <v>5</v>
      </c>
    </row>
    <row r="6" spans="1:63" ht="16.5" customHeight="1">
      <c r="A6" s="35">
        <v>5</v>
      </c>
      <c r="B6" s="36" t="b">
        <v>0</v>
      </c>
      <c r="C6" s="37" t="s">
        <v>60</v>
      </c>
      <c r="D6" s="37" t="s">
        <v>66</v>
      </c>
      <c r="E6" s="38" t="s">
        <v>75</v>
      </c>
      <c r="F6" s="38" t="s">
        <v>68</v>
      </c>
      <c r="G6" s="38" t="s">
        <v>64</v>
      </c>
      <c r="H6" s="38"/>
      <c r="I6" s="46" t="s">
        <v>69</v>
      </c>
      <c r="J6" s="39" t="s">
        <v>69</v>
      </c>
      <c r="K6" s="39"/>
      <c r="L6" s="39">
        <v>2.5</v>
      </c>
      <c r="M6" s="39"/>
      <c r="N6" s="39"/>
      <c r="O6" s="39" t="s">
        <v>70</v>
      </c>
      <c r="P6" s="39"/>
      <c r="Q6" s="40">
        <v>5</v>
      </c>
      <c r="R6" s="40">
        <v>5</v>
      </c>
      <c r="S6" s="40">
        <v>5</v>
      </c>
      <c r="T6" s="40">
        <v>5</v>
      </c>
      <c r="U6" s="40">
        <v>5</v>
      </c>
      <c r="V6" s="40">
        <v>5</v>
      </c>
      <c r="W6" s="40">
        <v>5</v>
      </c>
      <c r="X6" s="40">
        <v>5</v>
      </c>
      <c r="Y6" s="40"/>
      <c r="Z6" s="40">
        <f t="shared" si="1"/>
        <v>5</v>
      </c>
      <c r="AA6" s="41">
        <v>5</v>
      </c>
      <c r="AB6" s="41">
        <v>1</v>
      </c>
      <c r="AC6" s="41">
        <v>5</v>
      </c>
      <c r="AD6" s="41">
        <v>5</v>
      </c>
      <c r="AE6" s="41">
        <v>5</v>
      </c>
      <c r="AF6" s="41">
        <v>5</v>
      </c>
      <c r="AG6" s="41">
        <v>5</v>
      </c>
      <c r="AH6" s="41">
        <v>5</v>
      </c>
      <c r="AI6" s="41"/>
      <c r="AJ6" s="41">
        <f t="shared" si="2"/>
        <v>4.5</v>
      </c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>
        <v>5</v>
      </c>
      <c r="AW6" s="42">
        <v>5</v>
      </c>
      <c r="AX6" s="42">
        <v>5</v>
      </c>
      <c r="AY6" s="42">
        <v>5</v>
      </c>
      <c r="AZ6" s="42"/>
      <c r="BA6" s="42">
        <f t="shared" si="3"/>
        <v>5</v>
      </c>
      <c r="BB6" s="43">
        <v>5</v>
      </c>
      <c r="BC6" s="43">
        <v>5</v>
      </c>
      <c r="BD6" s="44"/>
      <c r="BE6" s="44"/>
      <c r="BF6" s="45">
        <v>5</v>
      </c>
      <c r="BG6" s="45">
        <v>5</v>
      </c>
      <c r="BH6" s="45">
        <v>5</v>
      </c>
      <c r="BI6" s="45">
        <f t="shared" si="0"/>
        <v>5</v>
      </c>
    </row>
    <row r="7" spans="1:63" ht="16.5" customHeight="1">
      <c r="A7" s="35">
        <v>6</v>
      </c>
      <c r="B7" s="36" t="b">
        <v>0</v>
      </c>
      <c r="C7" s="37" t="s">
        <v>60</v>
      </c>
      <c r="D7" s="37" t="s">
        <v>76</v>
      </c>
      <c r="E7" s="38" t="s">
        <v>77</v>
      </c>
      <c r="F7" s="38" t="s">
        <v>63</v>
      </c>
      <c r="G7" s="38" t="s">
        <v>64</v>
      </c>
      <c r="H7" s="38"/>
      <c r="I7" s="39" t="s">
        <v>65</v>
      </c>
      <c r="J7" s="39" t="s">
        <v>65</v>
      </c>
      <c r="K7" s="39"/>
      <c r="L7" s="39">
        <v>2.5</v>
      </c>
      <c r="M7" s="39"/>
      <c r="N7" s="39"/>
      <c r="O7" s="39"/>
      <c r="P7" s="39"/>
      <c r="Q7" s="40">
        <v>5</v>
      </c>
      <c r="R7" s="40">
        <v>2</v>
      </c>
      <c r="S7" s="40">
        <v>5</v>
      </c>
      <c r="T7" s="40">
        <v>5</v>
      </c>
      <c r="U7" s="40">
        <v>5</v>
      </c>
      <c r="V7" s="40">
        <v>5</v>
      </c>
      <c r="W7" s="40">
        <v>5</v>
      </c>
      <c r="X7" s="40">
        <v>5</v>
      </c>
      <c r="Y7" s="40"/>
      <c r="Z7" s="40">
        <f t="shared" si="1"/>
        <v>4.625</v>
      </c>
      <c r="AA7" s="41">
        <v>5</v>
      </c>
      <c r="AB7" s="41">
        <v>1</v>
      </c>
      <c r="AC7" s="41">
        <v>5</v>
      </c>
      <c r="AD7" s="41">
        <v>1</v>
      </c>
      <c r="AE7" s="41">
        <v>5</v>
      </c>
      <c r="AF7" s="41">
        <v>1</v>
      </c>
      <c r="AG7" s="41">
        <v>1</v>
      </c>
      <c r="AH7" s="41">
        <v>1</v>
      </c>
      <c r="AI7" s="41"/>
      <c r="AJ7" s="41">
        <f t="shared" si="2"/>
        <v>2.5</v>
      </c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>
        <v>5</v>
      </c>
      <c r="AW7" s="42">
        <v>5</v>
      </c>
      <c r="AX7" s="42">
        <v>5</v>
      </c>
      <c r="AY7" s="42">
        <v>5</v>
      </c>
      <c r="AZ7" s="42"/>
      <c r="BA7" s="42">
        <f t="shared" si="3"/>
        <v>5</v>
      </c>
      <c r="BB7" s="43">
        <v>5</v>
      </c>
      <c r="BC7" s="43">
        <v>5</v>
      </c>
      <c r="BD7" s="44">
        <v>5</v>
      </c>
      <c r="BE7" s="44"/>
      <c r="BF7" s="45">
        <v>5</v>
      </c>
      <c r="BG7" s="45">
        <v>5</v>
      </c>
      <c r="BH7" s="45">
        <v>5</v>
      </c>
      <c r="BI7" s="45">
        <f t="shared" si="0"/>
        <v>5</v>
      </c>
    </row>
    <row r="8" spans="1:63" ht="16.5" customHeight="1">
      <c r="A8" s="35">
        <v>7</v>
      </c>
      <c r="B8" s="36" t="b">
        <v>0</v>
      </c>
      <c r="C8" s="37" t="s">
        <v>60</v>
      </c>
      <c r="D8" s="37" t="s">
        <v>76</v>
      </c>
      <c r="E8" s="38" t="s">
        <v>72</v>
      </c>
      <c r="F8" s="38" t="s">
        <v>78</v>
      </c>
      <c r="G8" s="38" t="s">
        <v>64</v>
      </c>
      <c r="H8" s="38"/>
      <c r="I8" s="39" t="s">
        <v>65</v>
      </c>
      <c r="J8" s="39" t="s">
        <v>65</v>
      </c>
      <c r="K8" s="39"/>
      <c r="L8" s="39">
        <v>2.5</v>
      </c>
      <c r="M8" s="39"/>
      <c r="N8" s="39"/>
      <c r="O8" s="39" t="s">
        <v>70</v>
      </c>
      <c r="P8" s="39"/>
      <c r="Q8" s="40">
        <v>5</v>
      </c>
      <c r="R8" s="40">
        <v>5</v>
      </c>
      <c r="S8" s="40">
        <v>5</v>
      </c>
      <c r="T8" s="40">
        <v>5</v>
      </c>
      <c r="U8" s="40">
        <v>5</v>
      </c>
      <c r="V8" s="40">
        <v>5</v>
      </c>
      <c r="W8" s="40">
        <v>5</v>
      </c>
      <c r="X8" s="40">
        <v>5</v>
      </c>
      <c r="Y8" s="40"/>
      <c r="Z8" s="40">
        <f t="shared" si="1"/>
        <v>5</v>
      </c>
      <c r="AA8" s="41">
        <v>1</v>
      </c>
      <c r="AB8" s="41">
        <v>1</v>
      </c>
      <c r="AC8" s="41">
        <v>1</v>
      </c>
      <c r="AD8" s="41">
        <v>4</v>
      </c>
      <c r="AE8" s="41">
        <v>1</v>
      </c>
      <c r="AF8" s="41">
        <v>1</v>
      </c>
      <c r="AG8" s="41">
        <v>1</v>
      </c>
      <c r="AH8" s="41">
        <v>1</v>
      </c>
      <c r="AI8" s="41"/>
      <c r="AJ8" s="41">
        <f t="shared" si="2"/>
        <v>1.375</v>
      </c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>
        <v>1</v>
      </c>
      <c r="AW8" s="42">
        <v>5</v>
      </c>
      <c r="AX8" s="42">
        <v>5</v>
      </c>
      <c r="AY8" s="42">
        <v>5</v>
      </c>
      <c r="AZ8" s="42"/>
      <c r="BA8" s="42">
        <f t="shared" si="3"/>
        <v>5</v>
      </c>
      <c r="BB8" s="43">
        <v>5</v>
      </c>
      <c r="BC8" s="43"/>
      <c r="BD8" s="44"/>
      <c r="BE8" s="44"/>
      <c r="BF8" s="45">
        <v>5</v>
      </c>
      <c r="BG8" s="45">
        <v>5</v>
      </c>
      <c r="BH8" s="45">
        <v>5</v>
      </c>
      <c r="BI8" s="45">
        <f t="shared" si="0"/>
        <v>5</v>
      </c>
    </row>
    <row r="9" spans="1:63" ht="16.5" customHeight="1">
      <c r="A9" s="35">
        <v>8</v>
      </c>
      <c r="B9" s="36" t="b">
        <v>0</v>
      </c>
      <c r="C9" s="37" t="s">
        <v>79</v>
      </c>
      <c r="D9" s="37"/>
      <c r="E9" s="38" t="s">
        <v>72</v>
      </c>
      <c r="F9" s="38" t="s">
        <v>63</v>
      </c>
      <c r="G9" s="38" t="s">
        <v>64</v>
      </c>
      <c r="H9" s="38"/>
      <c r="I9" s="39" t="s">
        <v>65</v>
      </c>
      <c r="J9" s="39" t="s">
        <v>65</v>
      </c>
      <c r="K9" s="39"/>
      <c r="L9" s="39">
        <v>2.5</v>
      </c>
      <c r="M9" s="39"/>
      <c r="N9" s="39"/>
      <c r="O9" s="39"/>
      <c r="P9" s="39"/>
      <c r="Q9" s="40">
        <v>5</v>
      </c>
      <c r="R9" s="40">
        <v>5</v>
      </c>
      <c r="S9" s="40">
        <v>5</v>
      </c>
      <c r="T9" s="40">
        <v>5</v>
      </c>
      <c r="U9" s="40">
        <v>5</v>
      </c>
      <c r="V9" s="40">
        <v>5</v>
      </c>
      <c r="W9" s="40">
        <v>1</v>
      </c>
      <c r="X9" s="40">
        <v>5</v>
      </c>
      <c r="Y9" s="40">
        <v>2</v>
      </c>
      <c r="Z9" s="40">
        <f t="shared" si="1"/>
        <v>4.2222222222222223</v>
      </c>
      <c r="AA9" s="41">
        <v>2</v>
      </c>
      <c r="AB9" s="41">
        <v>1</v>
      </c>
      <c r="AC9" s="41">
        <v>1</v>
      </c>
      <c r="AD9" s="41">
        <v>1</v>
      </c>
      <c r="AE9" s="41">
        <v>1</v>
      </c>
      <c r="AF9" s="41">
        <v>1</v>
      </c>
      <c r="AG9" s="41">
        <v>1</v>
      </c>
      <c r="AH9" s="41">
        <v>1</v>
      </c>
      <c r="AI9" s="41"/>
      <c r="AJ9" s="41">
        <f t="shared" si="2"/>
        <v>1.125</v>
      </c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>
        <v>1</v>
      </c>
      <c r="AW9" s="42">
        <v>5</v>
      </c>
      <c r="AX9" s="42">
        <v>5</v>
      </c>
      <c r="AY9" s="42">
        <v>5</v>
      </c>
      <c r="AZ9" s="42"/>
      <c r="BA9" s="42">
        <f t="shared" si="3"/>
        <v>5</v>
      </c>
      <c r="BB9" s="43">
        <v>5</v>
      </c>
      <c r="BC9" s="43"/>
      <c r="BD9" s="44"/>
      <c r="BE9" s="44"/>
      <c r="BF9" s="45">
        <v>5</v>
      </c>
      <c r="BG9" s="45">
        <v>5</v>
      </c>
      <c r="BH9" s="45">
        <v>5</v>
      </c>
      <c r="BI9" s="45">
        <f t="shared" si="0"/>
        <v>5</v>
      </c>
    </row>
    <row r="10" spans="1:63" ht="16.5" customHeight="1">
      <c r="A10" s="35">
        <v>9</v>
      </c>
      <c r="B10" s="36" t="b">
        <v>0</v>
      </c>
      <c r="C10" s="37" t="s">
        <v>80</v>
      </c>
      <c r="D10" s="37" t="s">
        <v>81</v>
      </c>
      <c r="E10" s="38" t="s">
        <v>82</v>
      </c>
      <c r="F10" s="38" t="s">
        <v>63</v>
      </c>
      <c r="G10" s="38" t="s">
        <v>78</v>
      </c>
      <c r="H10" s="38"/>
      <c r="I10" s="39" t="s">
        <v>65</v>
      </c>
      <c r="J10" s="39" t="s">
        <v>83</v>
      </c>
      <c r="K10" s="39" t="s">
        <v>65</v>
      </c>
      <c r="L10" s="39">
        <v>3</v>
      </c>
      <c r="M10" s="39"/>
      <c r="N10" s="39"/>
      <c r="O10" s="39"/>
      <c r="P10" s="39"/>
      <c r="Q10" s="40">
        <v>5</v>
      </c>
      <c r="R10" s="40">
        <v>5</v>
      </c>
      <c r="S10" s="40">
        <v>5</v>
      </c>
      <c r="T10" s="40">
        <v>1</v>
      </c>
      <c r="U10" s="40">
        <v>5</v>
      </c>
      <c r="V10" s="40">
        <v>5</v>
      </c>
      <c r="W10" s="40">
        <v>5</v>
      </c>
      <c r="X10" s="40">
        <v>5</v>
      </c>
      <c r="Y10" s="40">
        <v>5</v>
      </c>
      <c r="Z10" s="40">
        <f t="shared" si="1"/>
        <v>4.5555555555555554</v>
      </c>
      <c r="AA10" s="41">
        <v>1</v>
      </c>
      <c r="AB10" s="41">
        <v>1</v>
      </c>
      <c r="AC10" s="41">
        <v>1</v>
      </c>
      <c r="AD10" s="41">
        <v>1</v>
      </c>
      <c r="AE10" s="41">
        <v>2</v>
      </c>
      <c r="AF10" s="41">
        <v>2</v>
      </c>
      <c r="AG10" s="41">
        <v>5</v>
      </c>
      <c r="AH10" s="41">
        <v>1</v>
      </c>
      <c r="AI10" s="41">
        <v>2</v>
      </c>
      <c r="AJ10" s="41">
        <f t="shared" si="2"/>
        <v>1.7777777777777777</v>
      </c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>
        <v>5</v>
      </c>
      <c r="AW10" s="42">
        <v>5</v>
      </c>
      <c r="AX10" s="42">
        <v>5</v>
      </c>
      <c r="AY10" s="42">
        <v>5</v>
      </c>
      <c r="AZ10" s="42"/>
      <c r="BA10" s="42">
        <f t="shared" si="3"/>
        <v>5</v>
      </c>
      <c r="BB10" s="43">
        <v>5</v>
      </c>
      <c r="BC10" s="43"/>
      <c r="BD10" s="44"/>
      <c r="BE10" s="44"/>
      <c r="BF10" s="45">
        <v>5</v>
      </c>
      <c r="BG10" s="45">
        <v>5</v>
      </c>
      <c r="BH10" s="45">
        <v>5</v>
      </c>
      <c r="BI10" s="45">
        <f t="shared" si="0"/>
        <v>5</v>
      </c>
    </row>
    <row r="11" spans="1:63" ht="16.5" customHeight="1">
      <c r="A11" s="35">
        <v>10</v>
      </c>
      <c r="B11" s="36" t="b">
        <v>0</v>
      </c>
      <c r="C11" s="37" t="s">
        <v>84</v>
      </c>
      <c r="D11" s="47" t="s">
        <v>85</v>
      </c>
      <c r="E11" s="38" t="s">
        <v>86</v>
      </c>
      <c r="F11" s="38" t="s">
        <v>74</v>
      </c>
      <c r="G11" s="38" t="s">
        <v>78</v>
      </c>
      <c r="H11" s="38"/>
      <c r="I11" s="39" t="s">
        <v>65</v>
      </c>
      <c r="J11" s="39" t="s">
        <v>87</v>
      </c>
      <c r="K11" s="39" t="s">
        <v>69</v>
      </c>
      <c r="L11" s="39">
        <v>3</v>
      </c>
      <c r="M11" s="39"/>
      <c r="N11" s="39"/>
      <c r="O11" s="39" t="s">
        <v>70</v>
      </c>
      <c r="P11" s="39"/>
      <c r="Q11" s="40">
        <v>1</v>
      </c>
      <c r="R11" s="40">
        <v>5</v>
      </c>
      <c r="S11" s="40">
        <v>5</v>
      </c>
      <c r="T11" s="40">
        <v>5</v>
      </c>
      <c r="U11" s="40">
        <v>5</v>
      </c>
      <c r="V11" s="40">
        <v>5</v>
      </c>
      <c r="W11" s="40">
        <v>1</v>
      </c>
      <c r="X11" s="40">
        <v>5</v>
      </c>
      <c r="Y11" s="40">
        <v>5</v>
      </c>
      <c r="Z11" s="40">
        <f t="shared" si="1"/>
        <v>4.1111111111111107</v>
      </c>
      <c r="AA11" s="41">
        <v>1</v>
      </c>
      <c r="AB11" s="41">
        <v>5</v>
      </c>
      <c r="AC11" s="41">
        <v>5</v>
      </c>
      <c r="AD11" s="41">
        <v>5</v>
      </c>
      <c r="AE11" s="41">
        <v>5</v>
      </c>
      <c r="AF11" s="41">
        <v>5</v>
      </c>
      <c r="AG11" s="41">
        <v>5</v>
      </c>
      <c r="AH11" s="41">
        <v>5</v>
      </c>
      <c r="AI11" s="41">
        <v>5</v>
      </c>
      <c r="AJ11" s="41">
        <f t="shared" si="2"/>
        <v>4.5555555555555554</v>
      </c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>
        <v>1</v>
      </c>
      <c r="AW11" s="42">
        <v>5</v>
      </c>
      <c r="AX11" s="42">
        <v>5</v>
      </c>
      <c r="AY11" s="42">
        <v>5</v>
      </c>
      <c r="AZ11" s="42"/>
      <c r="BA11" s="42">
        <f t="shared" si="3"/>
        <v>5</v>
      </c>
      <c r="BB11" s="43">
        <v>5</v>
      </c>
      <c r="BC11" s="43">
        <v>5</v>
      </c>
      <c r="BD11" s="44">
        <v>5</v>
      </c>
      <c r="BE11" s="44"/>
      <c r="BF11" s="45">
        <v>5</v>
      </c>
      <c r="BG11" s="45">
        <v>5</v>
      </c>
      <c r="BH11" s="45">
        <v>5</v>
      </c>
      <c r="BI11" s="45">
        <f t="shared" si="0"/>
        <v>5</v>
      </c>
    </row>
    <row r="12" spans="1:63" ht="16.5" customHeight="1">
      <c r="A12" s="35">
        <v>11</v>
      </c>
      <c r="B12" s="36" t="b">
        <v>0</v>
      </c>
      <c r="C12" s="37" t="s">
        <v>80</v>
      </c>
      <c r="D12" s="37"/>
      <c r="E12" s="38" t="s">
        <v>77</v>
      </c>
      <c r="F12" s="38" t="s">
        <v>78</v>
      </c>
      <c r="G12" s="38" t="s">
        <v>64</v>
      </c>
      <c r="H12" s="38"/>
      <c r="I12" s="39" t="s">
        <v>65</v>
      </c>
      <c r="J12" s="39" t="s">
        <v>83</v>
      </c>
      <c r="K12" s="39"/>
      <c r="L12" s="39">
        <v>2.5</v>
      </c>
      <c r="M12" s="39"/>
      <c r="N12" s="39"/>
      <c r="O12" s="39" t="s">
        <v>70</v>
      </c>
      <c r="P12" s="39"/>
      <c r="Q12" s="40">
        <v>1</v>
      </c>
      <c r="R12" s="40">
        <v>1</v>
      </c>
      <c r="S12" s="40">
        <v>1</v>
      </c>
      <c r="T12" s="40">
        <v>5</v>
      </c>
      <c r="U12" s="40">
        <v>5</v>
      </c>
      <c r="V12" s="40">
        <v>1</v>
      </c>
      <c r="W12" s="40">
        <v>1</v>
      </c>
      <c r="X12" s="40">
        <v>1</v>
      </c>
      <c r="Y12" s="40">
        <v>4</v>
      </c>
      <c r="Z12" s="40">
        <f t="shared" si="1"/>
        <v>2.2222222222222223</v>
      </c>
      <c r="AA12" s="41">
        <v>1</v>
      </c>
      <c r="AB12" s="41">
        <v>1</v>
      </c>
      <c r="AC12" s="41">
        <v>1</v>
      </c>
      <c r="AD12" s="41">
        <v>1</v>
      </c>
      <c r="AE12" s="41">
        <v>5</v>
      </c>
      <c r="AF12" s="41">
        <v>5</v>
      </c>
      <c r="AG12" s="41">
        <v>1</v>
      </c>
      <c r="AH12" s="41">
        <v>1</v>
      </c>
      <c r="AI12" s="41">
        <v>1</v>
      </c>
      <c r="AJ12" s="41">
        <f t="shared" si="2"/>
        <v>1.8888888888888888</v>
      </c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>
        <v>1</v>
      </c>
      <c r="AW12" s="42">
        <v>5</v>
      </c>
      <c r="AX12" s="42">
        <v>5</v>
      </c>
      <c r="AY12" s="42">
        <v>5</v>
      </c>
      <c r="AZ12" s="42"/>
      <c r="BA12" s="42">
        <f t="shared" si="3"/>
        <v>5</v>
      </c>
      <c r="BB12" s="43">
        <v>5</v>
      </c>
      <c r="BC12" s="43"/>
      <c r="BD12" s="44"/>
      <c r="BE12" s="44"/>
      <c r="BF12" s="45">
        <v>5</v>
      </c>
      <c r="BG12" s="45"/>
      <c r="BH12" s="45">
        <v>5</v>
      </c>
      <c r="BI12" s="45">
        <f t="shared" si="0"/>
        <v>5</v>
      </c>
    </row>
    <row r="13" spans="1:63" ht="16.5" customHeight="1">
      <c r="A13" s="35">
        <v>12</v>
      </c>
      <c r="B13" s="36" t="b">
        <v>0</v>
      </c>
      <c r="C13" s="37" t="s">
        <v>88</v>
      </c>
      <c r="D13" s="37" t="s">
        <v>89</v>
      </c>
      <c r="E13" s="38" t="s">
        <v>72</v>
      </c>
      <c r="F13" s="38" t="s">
        <v>63</v>
      </c>
      <c r="G13" s="38" t="s">
        <v>78</v>
      </c>
      <c r="H13" s="38"/>
      <c r="I13" s="39" t="s">
        <v>65</v>
      </c>
      <c r="J13" s="39" t="s">
        <v>83</v>
      </c>
      <c r="K13" s="39" t="s">
        <v>65</v>
      </c>
      <c r="L13" s="39">
        <v>3</v>
      </c>
      <c r="M13" s="39"/>
      <c r="N13" s="39"/>
      <c r="O13" s="39" t="s">
        <v>70</v>
      </c>
      <c r="P13" s="39"/>
      <c r="Q13" s="40">
        <v>5</v>
      </c>
      <c r="R13" s="40">
        <v>5</v>
      </c>
      <c r="S13" s="40">
        <v>5</v>
      </c>
      <c r="T13" s="40">
        <v>5</v>
      </c>
      <c r="U13" s="40">
        <v>5</v>
      </c>
      <c r="V13" s="40">
        <v>5</v>
      </c>
      <c r="W13" s="40">
        <v>1</v>
      </c>
      <c r="X13" s="40">
        <v>5</v>
      </c>
      <c r="Y13" s="40">
        <v>5</v>
      </c>
      <c r="Z13" s="40">
        <f t="shared" si="1"/>
        <v>4.5555555555555554</v>
      </c>
      <c r="AA13" s="41">
        <v>1</v>
      </c>
      <c r="AB13" s="41">
        <v>1</v>
      </c>
      <c r="AC13" s="41">
        <v>1</v>
      </c>
      <c r="AD13" s="41">
        <v>5</v>
      </c>
      <c r="AE13" s="41">
        <v>5</v>
      </c>
      <c r="AF13" s="41">
        <v>1</v>
      </c>
      <c r="AG13" s="41">
        <v>1</v>
      </c>
      <c r="AH13" s="41">
        <v>1</v>
      </c>
      <c r="AI13" s="41">
        <v>2</v>
      </c>
      <c r="AJ13" s="41">
        <f t="shared" si="2"/>
        <v>2</v>
      </c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>
        <v>5</v>
      </c>
      <c r="AW13" s="42">
        <v>5</v>
      </c>
      <c r="AX13" s="42">
        <v>5</v>
      </c>
      <c r="AY13" s="42">
        <v>5</v>
      </c>
      <c r="AZ13" s="42"/>
      <c r="BA13" s="42">
        <f t="shared" si="3"/>
        <v>5</v>
      </c>
      <c r="BB13" s="43">
        <v>5</v>
      </c>
      <c r="BC13" s="43"/>
      <c r="BD13" s="44"/>
      <c r="BE13" s="44"/>
      <c r="BF13" s="45">
        <v>5</v>
      </c>
      <c r="BG13" s="45">
        <v>5</v>
      </c>
      <c r="BH13" s="45">
        <v>5</v>
      </c>
      <c r="BI13" s="45">
        <f t="shared" si="0"/>
        <v>5</v>
      </c>
    </row>
    <row r="14" spans="1:63" ht="16.5" customHeight="1">
      <c r="A14" s="35">
        <v>13</v>
      </c>
      <c r="B14" s="36" t="b">
        <v>0</v>
      </c>
      <c r="C14" s="37" t="s">
        <v>90</v>
      </c>
      <c r="D14" s="37" t="s">
        <v>91</v>
      </c>
      <c r="E14" s="38" t="s">
        <v>73</v>
      </c>
      <c r="F14" s="38" t="s">
        <v>74</v>
      </c>
      <c r="G14" s="38" t="s">
        <v>78</v>
      </c>
      <c r="H14" s="38"/>
      <c r="I14" s="46" t="s">
        <v>69</v>
      </c>
      <c r="J14" s="39" t="s">
        <v>83</v>
      </c>
      <c r="K14" s="39" t="s">
        <v>65</v>
      </c>
      <c r="L14" s="39" t="s">
        <v>92</v>
      </c>
      <c r="M14" s="39" t="s">
        <v>70</v>
      </c>
      <c r="N14" s="39"/>
      <c r="O14" s="39"/>
      <c r="P14" s="39"/>
      <c r="Q14" s="40">
        <v>5</v>
      </c>
      <c r="R14" s="40">
        <v>5</v>
      </c>
      <c r="S14" s="40">
        <v>5</v>
      </c>
      <c r="T14" s="40">
        <v>5</v>
      </c>
      <c r="U14" s="40">
        <v>5</v>
      </c>
      <c r="V14" s="40">
        <v>5</v>
      </c>
      <c r="W14" s="40">
        <v>5</v>
      </c>
      <c r="X14" s="40">
        <v>1</v>
      </c>
      <c r="Y14" s="40">
        <v>5</v>
      </c>
      <c r="Z14" s="40">
        <f t="shared" si="1"/>
        <v>4.5555555555555554</v>
      </c>
      <c r="AA14" s="41">
        <v>1</v>
      </c>
      <c r="AB14" s="41">
        <v>1</v>
      </c>
      <c r="AC14" s="41"/>
      <c r="AD14" s="41"/>
      <c r="AE14" s="41"/>
      <c r="AF14" s="41"/>
      <c r="AG14" s="41"/>
      <c r="AH14" s="41"/>
      <c r="AI14" s="41"/>
      <c r="AJ14" s="41">
        <f t="shared" si="2"/>
        <v>1</v>
      </c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>
        <v>1</v>
      </c>
      <c r="AW14" s="42"/>
      <c r="AX14" s="42">
        <v>5</v>
      </c>
      <c r="AY14" s="42"/>
      <c r="AZ14" s="42"/>
      <c r="BA14" s="42">
        <f t="shared" si="3"/>
        <v>5</v>
      </c>
      <c r="BB14" s="43">
        <v>1</v>
      </c>
      <c r="BC14" s="43"/>
      <c r="BD14" s="44"/>
      <c r="BE14" s="44"/>
      <c r="BF14" s="45">
        <v>5</v>
      </c>
      <c r="BG14" s="45"/>
      <c r="BH14" s="45">
        <v>5</v>
      </c>
      <c r="BI14" s="45">
        <f t="shared" si="0"/>
        <v>3.6666666666666665</v>
      </c>
    </row>
    <row r="15" spans="1:63" ht="16.5" customHeight="1">
      <c r="A15" s="35">
        <v>14</v>
      </c>
      <c r="B15" s="36" t="b">
        <v>0</v>
      </c>
      <c r="C15" s="37" t="s">
        <v>60</v>
      </c>
      <c r="D15" s="37" t="s">
        <v>76</v>
      </c>
      <c r="E15" s="38" t="s">
        <v>72</v>
      </c>
      <c r="F15" s="38" t="s">
        <v>63</v>
      </c>
      <c r="G15" s="38" t="s">
        <v>64</v>
      </c>
      <c r="H15" s="38"/>
      <c r="I15" s="39" t="s">
        <v>65</v>
      </c>
      <c r="J15" s="39" t="s">
        <v>65</v>
      </c>
      <c r="K15" s="39"/>
      <c r="L15" s="39">
        <v>2.5</v>
      </c>
      <c r="M15" s="39"/>
      <c r="N15" s="39"/>
      <c r="O15" s="39"/>
      <c r="P15" s="39"/>
      <c r="Q15" s="40">
        <v>5</v>
      </c>
      <c r="R15" s="40">
        <v>5</v>
      </c>
      <c r="S15" s="40">
        <v>5</v>
      </c>
      <c r="T15" s="40">
        <v>5</v>
      </c>
      <c r="U15" s="40">
        <v>5</v>
      </c>
      <c r="V15" s="40">
        <v>5</v>
      </c>
      <c r="W15" s="40">
        <v>5</v>
      </c>
      <c r="X15" s="40">
        <v>5</v>
      </c>
      <c r="Y15" s="40">
        <v>5</v>
      </c>
      <c r="Z15" s="40">
        <f t="shared" si="1"/>
        <v>5</v>
      </c>
      <c r="AA15" s="41">
        <v>1</v>
      </c>
      <c r="AB15" s="41">
        <v>1</v>
      </c>
      <c r="AC15" s="41">
        <v>5</v>
      </c>
      <c r="AD15" s="41">
        <v>5</v>
      </c>
      <c r="AE15" s="41">
        <v>5</v>
      </c>
      <c r="AF15" s="41">
        <v>5</v>
      </c>
      <c r="AG15" s="41">
        <v>5</v>
      </c>
      <c r="AH15" s="41">
        <v>5</v>
      </c>
      <c r="AI15" s="41">
        <v>5</v>
      </c>
      <c r="AJ15" s="41">
        <f t="shared" si="2"/>
        <v>4.1111111111111107</v>
      </c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>
        <v>5</v>
      </c>
      <c r="AW15" s="42">
        <v>5</v>
      </c>
      <c r="AX15" s="42">
        <v>5</v>
      </c>
      <c r="AY15" s="42">
        <v>5</v>
      </c>
      <c r="AZ15" s="42"/>
      <c r="BA15" s="42">
        <f t="shared" si="3"/>
        <v>5</v>
      </c>
      <c r="BB15" s="43">
        <v>5</v>
      </c>
      <c r="BC15" s="43">
        <v>5</v>
      </c>
      <c r="BD15" s="44">
        <v>5</v>
      </c>
      <c r="BE15" s="44"/>
      <c r="BF15" s="45">
        <v>5</v>
      </c>
      <c r="BG15" s="45">
        <v>5</v>
      </c>
      <c r="BH15" s="45">
        <v>5</v>
      </c>
      <c r="BI15" s="45">
        <f t="shared" si="0"/>
        <v>5</v>
      </c>
    </row>
    <row r="16" spans="1:63" ht="16.5" customHeight="1">
      <c r="A16" s="35">
        <v>15</v>
      </c>
      <c r="B16" s="36" t="b">
        <v>0</v>
      </c>
      <c r="C16" s="37" t="s">
        <v>80</v>
      </c>
      <c r="D16" s="37" t="s">
        <v>81</v>
      </c>
      <c r="E16" s="38" t="s">
        <v>82</v>
      </c>
      <c r="F16" s="38"/>
      <c r="G16" s="38" t="s">
        <v>78</v>
      </c>
      <c r="H16" s="38"/>
      <c r="I16" s="39" t="s">
        <v>65</v>
      </c>
      <c r="J16" s="39" t="s">
        <v>83</v>
      </c>
      <c r="K16" s="39" t="s">
        <v>65</v>
      </c>
      <c r="L16" s="39">
        <v>3</v>
      </c>
      <c r="M16" s="39"/>
      <c r="N16" s="39"/>
      <c r="O16" s="39"/>
      <c r="P16" s="39"/>
      <c r="Q16" s="40">
        <v>5</v>
      </c>
      <c r="R16" s="40">
        <v>5</v>
      </c>
      <c r="S16" s="40">
        <v>5</v>
      </c>
      <c r="T16" s="40">
        <v>5</v>
      </c>
      <c r="U16" s="40">
        <v>5</v>
      </c>
      <c r="V16" s="40">
        <v>5</v>
      </c>
      <c r="W16" s="40">
        <v>5</v>
      </c>
      <c r="X16" s="40">
        <v>5</v>
      </c>
      <c r="Y16" s="40">
        <v>1</v>
      </c>
      <c r="Z16" s="40">
        <f t="shared" si="1"/>
        <v>4.5555555555555554</v>
      </c>
      <c r="AA16" s="41">
        <v>1</v>
      </c>
      <c r="AB16" s="41">
        <v>1</v>
      </c>
      <c r="AC16" s="41">
        <v>1</v>
      </c>
      <c r="AD16" s="41">
        <v>1</v>
      </c>
      <c r="AE16" s="41">
        <v>5</v>
      </c>
      <c r="AF16" s="41">
        <v>5</v>
      </c>
      <c r="AG16" s="41">
        <v>5</v>
      </c>
      <c r="AH16" s="41">
        <v>5</v>
      </c>
      <c r="AI16" s="41">
        <v>1</v>
      </c>
      <c r="AJ16" s="41">
        <f t="shared" si="2"/>
        <v>2.7777777777777777</v>
      </c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>
        <v>5</v>
      </c>
      <c r="AW16" s="42">
        <v>5</v>
      </c>
      <c r="AX16" s="42">
        <v>5</v>
      </c>
      <c r="AY16" s="42">
        <v>5</v>
      </c>
      <c r="AZ16" s="42"/>
      <c r="BA16" s="42">
        <f t="shared" si="3"/>
        <v>5</v>
      </c>
      <c r="BB16" s="43">
        <v>5</v>
      </c>
      <c r="BC16" s="43"/>
      <c r="BD16" s="44"/>
      <c r="BE16" s="44"/>
      <c r="BF16" s="45">
        <v>5</v>
      </c>
      <c r="BG16" s="45">
        <v>5</v>
      </c>
      <c r="BH16" s="45">
        <v>5</v>
      </c>
      <c r="BI16" s="45">
        <f t="shared" si="0"/>
        <v>5</v>
      </c>
    </row>
    <row r="17" spans="1:61" ht="16.5" customHeight="1">
      <c r="A17" s="35">
        <v>16</v>
      </c>
      <c r="B17" s="36" t="b">
        <v>1</v>
      </c>
      <c r="C17" s="37" t="s">
        <v>93</v>
      </c>
      <c r="D17" s="37" t="s">
        <v>94</v>
      </c>
      <c r="E17" s="38" t="s">
        <v>72</v>
      </c>
      <c r="F17" s="38" t="s">
        <v>63</v>
      </c>
      <c r="G17" s="38" t="s">
        <v>78</v>
      </c>
      <c r="H17" s="38"/>
      <c r="I17" s="46" t="s">
        <v>69</v>
      </c>
      <c r="J17" s="39" t="s">
        <v>69</v>
      </c>
      <c r="K17" s="39" t="s">
        <v>69</v>
      </c>
      <c r="L17" s="39">
        <v>3</v>
      </c>
      <c r="M17" s="39"/>
      <c r="N17" s="39"/>
      <c r="O17" s="39" t="s">
        <v>70</v>
      </c>
      <c r="P17" s="39"/>
      <c r="Q17" s="40">
        <v>1</v>
      </c>
      <c r="R17" s="40">
        <v>5</v>
      </c>
      <c r="S17" s="40">
        <v>5</v>
      </c>
      <c r="T17" s="40">
        <v>5</v>
      </c>
      <c r="U17" s="40">
        <v>5</v>
      </c>
      <c r="V17" s="40">
        <v>5</v>
      </c>
      <c r="W17" s="40">
        <v>5</v>
      </c>
      <c r="X17" s="40">
        <v>5</v>
      </c>
      <c r="Y17" s="40">
        <v>1</v>
      </c>
      <c r="Z17" s="40">
        <f t="shared" si="1"/>
        <v>4.1111111111111107</v>
      </c>
      <c r="AA17" s="41">
        <v>1</v>
      </c>
      <c r="AB17" s="41">
        <v>5</v>
      </c>
      <c r="AC17" s="41">
        <v>5</v>
      </c>
      <c r="AD17" s="41">
        <v>5</v>
      </c>
      <c r="AE17" s="41">
        <v>5</v>
      </c>
      <c r="AF17" s="41">
        <v>5</v>
      </c>
      <c r="AG17" s="41">
        <v>5</v>
      </c>
      <c r="AH17" s="41">
        <v>5</v>
      </c>
      <c r="AI17" s="41">
        <v>5</v>
      </c>
      <c r="AJ17" s="41">
        <f t="shared" si="2"/>
        <v>4.5555555555555554</v>
      </c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>
        <v>5</v>
      </c>
      <c r="AW17" s="42">
        <v>5</v>
      </c>
      <c r="AX17" s="42">
        <v>5</v>
      </c>
      <c r="AY17" s="42">
        <v>5</v>
      </c>
      <c r="AZ17" s="42"/>
      <c r="BA17" s="42">
        <f t="shared" si="3"/>
        <v>5</v>
      </c>
      <c r="BB17" s="43">
        <v>5</v>
      </c>
      <c r="BC17" s="43"/>
      <c r="BD17" s="44">
        <v>5</v>
      </c>
      <c r="BE17" s="44"/>
      <c r="BF17" s="45">
        <v>5</v>
      </c>
      <c r="BG17" s="45">
        <v>5</v>
      </c>
      <c r="BH17" s="45">
        <v>5</v>
      </c>
      <c r="BI17" s="45">
        <f t="shared" si="0"/>
        <v>5</v>
      </c>
    </row>
    <row r="18" spans="1:61" ht="16.5" customHeight="1">
      <c r="A18" s="35">
        <v>17</v>
      </c>
      <c r="B18" s="36" t="b">
        <v>0</v>
      </c>
      <c r="C18" s="37" t="s">
        <v>95</v>
      </c>
      <c r="D18" s="37"/>
      <c r="E18" s="38" t="s">
        <v>96</v>
      </c>
      <c r="F18" s="38" t="s">
        <v>78</v>
      </c>
      <c r="G18" s="38" t="s">
        <v>78</v>
      </c>
      <c r="H18" s="38">
        <v>2012</v>
      </c>
      <c r="I18" s="39" t="s">
        <v>65</v>
      </c>
      <c r="J18" s="39" t="s">
        <v>65</v>
      </c>
      <c r="K18" s="39"/>
      <c r="L18" s="39">
        <v>2.5</v>
      </c>
      <c r="M18" s="39"/>
      <c r="N18" s="39"/>
      <c r="O18" s="39" t="s">
        <v>70</v>
      </c>
      <c r="P18" s="39"/>
      <c r="Q18" s="40">
        <v>5</v>
      </c>
      <c r="R18" s="40">
        <v>5</v>
      </c>
      <c r="S18" s="40">
        <v>1</v>
      </c>
      <c r="T18" s="40">
        <v>5</v>
      </c>
      <c r="U18" s="40">
        <v>5</v>
      </c>
      <c r="V18" s="40">
        <v>5</v>
      </c>
      <c r="W18" s="40">
        <v>5</v>
      </c>
      <c r="X18" s="40">
        <v>5</v>
      </c>
      <c r="Y18" s="40">
        <v>5</v>
      </c>
      <c r="Z18" s="40">
        <f t="shared" si="1"/>
        <v>4.5555555555555554</v>
      </c>
      <c r="AA18" s="41">
        <v>1</v>
      </c>
      <c r="AB18" s="41">
        <v>1</v>
      </c>
      <c r="AC18" s="41">
        <v>1</v>
      </c>
      <c r="AD18" s="41">
        <v>5</v>
      </c>
      <c r="AE18" s="41">
        <v>5</v>
      </c>
      <c r="AF18" s="41">
        <v>5</v>
      </c>
      <c r="AG18" s="41">
        <v>1</v>
      </c>
      <c r="AH18" s="41">
        <v>5</v>
      </c>
      <c r="AI18" s="41">
        <v>5</v>
      </c>
      <c r="AJ18" s="41">
        <f t="shared" si="2"/>
        <v>3.2222222222222223</v>
      </c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2">
        <v>5</v>
      </c>
      <c r="AX18" s="42">
        <v>5</v>
      </c>
      <c r="AY18" s="42">
        <v>5</v>
      </c>
      <c r="AZ18" s="42"/>
      <c r="BA18" s="42">
        <f t="shared" si="3"/>
        <v>5</v>
      </c>
      <c r="BB18" s="43">
        <v>5</v>
      </c>
      <c r="BC18" s="43"/>
      <c r="BD18" s="44">
        <v>5</v>
      </c>
      <c r="BE18" s="44"/>
      <c r="BF18" s="45">
        <v>5</v>
      </c>
      <c r="BG18" s="45">
        <v>5</v>
      </c>
      <c r="BH18" s="45">
        <v>5</v>
      </c>
      <c r="BI18" s="45">
        <f t="shared" si="0"/>
        <v>5</v>
      </c>
    </row>
    <row r="19" spans="1:61" ht="16.5" customHeight="1">
      <c r="A19" s="35">
        <v>18</v>
      </c>
      <c r="B19" s="36" t="b">
        <v>0</v>
      </c>
      <c r="C19" s="37" t="s">
        <v>93</v>
      </c>
      <c r="D19" s="37" t="s">
        <v>94</v>
      </c>
      <c r="E19" s="38" t="s">
        <v>97</v>
      </c>
      <c r="F19" s="38" t="s">
        <v>78</v>
      </c>
      <c r="G19" s="38" t="s">
        <v>78</v>
      </c>
      <c r="H19" s="38"/>
      <c r="I19" s="46" t="s">
        <v>69</v>
      </c>
      <c r="J19" s="39" t="s">
        <v>69</v>
      </c>
      <c r="K19" s="39" t="s">
        <v>69</v>
      </c>
      <c r="L19" s="39">
        <v>3</v>
      </c>
      <c r="M19" s="39"/>
      <c r="N19" s="39"/>
      <c r="O19" s="39" t="s">
        <v>70</v>
      </c>
      <c r="P19" s="39"/>
      <c r="Q19" s="40">
        <v>1</v>
      </c>
      <c r="R19" s="40">
        <v>1</v>
      </c>
      <c r="S19" s="40">
        <v>1</v>
      </c>
      <c r="T19" s="40">
        <v>5</v>
      </c>
      <c r="U19" s="40">
        <v>4</v>
      </c>
      <c r="V19" s="40">
        <v>5</v>
      </c>
      <c r="W19" s="40">
        <v>5</v>
      </c>
      <c r="X19" s="40">
        <v>1</v>
      </c>
      <c r="Y19" s="40">
        <v>1</v>
      </c>
      <c r="Z19" s="40">
        <f t="shared" si="1"/>
        <v>2.6666666666666665</v>
      </c>
      <c r="AA19" s="41">
        <v>1</v>
      </c>
      <c r="AB19" s="41">
        <v>1</v>
      </c>
      <c r="AC19" s="41">
        <v>1</v>
      </c>
      <c r="AD19" s="41">
        <v>5</v>
      </c>
      <c r="AE19" s="41">
        <v>3</v>
      </c>
      <c r="AF19" s="41">
        <v>5</v>
      </c>
      <c r="AG19" s="41">
        <v>5</v>
      </c>
      <c r="AH19" s="41">
        <v>2</v>
      </c>
      <c r="AI19" s="41">
        <v>1</v>
      </c>
      <c r="AJ19" s="41">
        <f t="shared" si="2"/>
        <v>2.6666666666666665</v>
      </c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>
        <v>1</v>
      </c>
      <c r="AW19" s="42">
        <v>5</v>
      </c>
      <c r="AX19" s="42">
        <v>1</v>
      </c>
      <c r="AY19" s="42">
        <v>5</v>
      </c>
      <c r="AZ19" s="42"/>
      <c r="BA19" s="42">
        <f t="shared" si="3"/>
        <v>3.6666666666666665</v>
      </c>
      <c r="BB19" s="43">
        <v>5</v>
      </c>
      <c r="BC19" s="43"/>
      <c r="BD19" s="44">
        <v>5</v>
      </c>
      <c r="BE19" s="44"/>
      <c r="BF19" s="45">
        <v>5</v>
      </c>
      <c r="BG19" s="45">
        <v>5</v>
      </c>
      <c r="BH19" s="45">
        <v>5</v>
      </c>
      <c r="BI19" s="45">
        <f t="shared" si="0"/>
        <v>5</v>
      </c>
    </row>
    <row r="20" spans="1:61" ht="16.5" customHeight="1">
      <c r="A20" s="35">
        <v>19</v>
      </c>
      <c r="B20" s="36" t="b">
        <v>1</v>
      </c>
      <c r="C20" s="37" t="s">
        <v>60</v>
      </c>
      <c r="D20" s="37" t="s">
        <v>98</v>
      </c>
      <c r="E20" s="38" t="s">
        <v>72</v>
      </c>
      <c r="F20" s="38" t="s">
        <v>74</v>
      </c>
      <c r="G20" s="38" t="s">
        <v>78</v>
      </c>
      <c r="H20" s="38"/>
      <c r="I20" s="46" t="s">
        <v>69</v>
      </c>
      <c r="J20" s="39" t="s">
        <v>87</v>
      </c>
      <c r="K20" s="39"/>
      <c r="L20" s="39">
        <v>2.5</v>
      </c>
      <c r="M20" s="39"/>
      <c r="N20" s="39"/>
      <c r="O20" s="39" t="s">
        <v>70</v>
      </c>
      <c r="P20" s="39"/>
      <c r="Q20" s="40">
        <v>2</v>
      </c>
      <c r="R20" s="40">
        <v>5</v>
      </c>
      <c r="S20" s="40">
        <v>5</v>
      </c>
      <c r="T20" s="40">
        <v>5</v>
      </c>
      <c r="U20" s="40">
        <v>5</v>
      </c>
      <c r="V20" s="40">
        <v>5</v>
      </c>
      <c r="W20" s="40">
        <v>5</v>
      </c>
      <c r="X20" s="40">
        <v>5</v>
      </c>
      <c r="Y20" s="40">
        <v>5</v>
      </c>
      <c r="Z20" s="40">
        <f t="shared" si="1"/>
        <v>4.666666666666667</v>
      </c>
      <c r="AA20" s="41">
        <v>5</v>
      </c>
      <c r="AB20" s="41">
        <v>5</v>
      </c>
      <c r="AC20" s="41">
        <v>5</v>
      </c>
      <c r="AD20" s="41">
        <v>5</v>
      </c>
      <c r="AE20" s="41">
        <v>5</v>
      </c>
      <c r="AF20" s="41">
        <v>5</v>
      </c>
      <c r="AG20" s="41">
        <v>5</v>
      </c>
      <c r="AH20" s="41">
        <v>5</v>
      </c>
      <c r="AI20" s="41">
        <v>5</v>
      </c>
      <c r="AJ20" s="41">
        <f t="shared" si="2"/>
        <v>5</v>
      </c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>
        <v>5</v>
      </c>
      <c r="AW20" s="42">
        <v>5</v>
      </c>
      <c r="AX20" s="42">
        <v>5</v>
      </c>
      <c r="AY20" s="42">
        <v>5</v>
      </c>
      <c r="AZ20" s="42"/>
      <c r="BA20" s="42">
        <f t="shared" si="3"/>
        <v>5</v>
      </c>
      <c r="BB20" s="43">
        <v>5</v>
      </c>
      <c r="BC20" s="43"/>
      <c r="BD20" s="44">
        <v>5</v>
      </c>
      <c r="BE20" s="44"/>
      <c r="BF20" s="45">
        <v>5</v>
      </c>
      <c r="BG20" s="45">
        <v>5</v>
      </c>
      <c r="BH20" s="45">
        <v>5</v>
      </c>
      <c r="BI20" s="45">
        <f t="shared" si="0"/>
        <v>5</v>
      </c>
    </row>
    <row r="21" spans="1:61" ht="16.5" customHeight="1">
      <c r="A21" s="35">
        <v>20</v>
      </c>
      <c r="B21" s="36" t="b">
        <v>0</v>
      </c>
      <c r="C21" s="37" t="s">
        <v>60</v>
      </c>
      <c r="D21" s="37" t="s">
        <v>66</v>
      </c>
      <c r="E21" s="38" t="s">
        <v>72</v>
      </c>
      <c r="F21" s="38" t="s">
        <v>63</v>
      </c>
      <c r="G21" s="38" t="s">
        <v>78</v>
      </c>
      <c r="H21" s="38"/>
      <c r="I21" s="39" t="s">
        <v>65</v>
      </c>
      <c r="J21" s="39" t="s">
        <v>65</v>
      </c>
      <c r="K21" s="39"/>
      <c r="L21" s="39">
        <v>2.5</v>
      </c>
      <c r="M21" s="39"/>
      <c r="N21" s="39"/>
      <c r="O21" s="39" t="s">
        <v>70</v>
      </c>
      <c r="P21" s="39"/>
      <c r="Q21" s="40">
        <v>1</v>
      </c>
      <c r="R21" s="40">
        <v>1</v>
      </c>
      <c r="S21" s="40">
        <v>5</v>
      </c>
      <c r="T21" s="40">
        <v>5</v>
      </c>
      <c r="U21" s="40">
        <v>5</v>
      </c>
      <c r="V21" s="40">
        <v>5</v>
      </c>
      <c r="W21" s="40">
        <v>5</v>
      </c>
      <c r="X21" s="40">
        <v>5</v>
      </c>
      <c r="Y21" s="40">
        <v>5</v>
      </c>
      <c r="Z21" s="40">
        <f t="shared" si="1"/>
        <v>4.1111111111111107</v>
      </c>
      <c r="AA21" s="41">
        <v>1</v>
      </c>
      <c r="AB21" s="41">
        <v>1</v>
      </c>
      <c r="AC21" s="41">
        <v>5</v>
      </c>
      <c r="AD21" s="41">
        <v>5</v>
      </c>
      <c r="AE21" s="41">
        <v>5</v>
      </c>
      <c r="AF21" s="41">
        <v>5</v>
      </c>
      <c r="AG21" s="41">
        <v>5</v>
      </c>
      <c r="AH21" s="41">
        <v>5</v>
      </c>
      <c r="AI21" s="41">
        <v>5</v>
      </c>
      <c r="AJ21" s="41">
        <f t="shared" si="2"/>
        <v>4.1111111111111107</v>
      </c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>
        <v>5</v>
      </c>
      <c r="AW21" s="42">
        <v>5</v>
      </c>
      <c r="AX21" s="42">
        <v>5</v>
      </c>
      <c r="AY21" s="42">
        <v>5</v>
      </c>
      <c r="AZ21" s="42"/>
      <c r="BA21" s="42">
        <f t="shared" si="3"/>
        <v>5</v>
      </c>
      <c r="BB21" s="43">
        <v>5</v>
      </c>
      <c r="BC21" s="43">
        <v>5</v>
      </c>
      <c r="BD21" s="44">
        <v>5</v>
      </c>
      <c r="BE21" s="44"/>
      <c r="BF21" s="45">
        <v>5</v>
      </c>
      <c r="BG21" s="45">
        <v>5</v>
      </c>
      <c r="BH21" s="45">
        <v>5</v>
      </c>
      <c r="BI21" s="45">
        <f t="shared" si="0"/>
        <v>5</v>
      </c>
    </row>
    <row r="22" spans="1:61" ht="16.5" customHeight="1">
      <c r="A22" s="35">
        <v>21</v>
      </c>
      <c r="B22" s="36" t="b">
        <v>1</v>
      </c>
      <c r="C22" s="37" t="s">
        <v>99</v>
      </c>
      <c r="D22" s="37" t="s">
        <v>100</v>
      </c>
      <c r="E22" s="38" t="s">
        <v>86</v>
      </c>
      <c r="F22" s="38" t="s">
        <v>78</v>
      </c>
      <c r="G22" s="38" t="s">
        <v>78</v>
      </c>
      <c r="H22" s="38"/>
      <c r="I22" s="39" t="s">
        <v>65</v>
      </c>
      <c r="J22" s="39" t="s">
        <v>83</v>
      </c>
      <c r="K22" s="39" t="s">
        <v>69</v>
      </c>
      <c r="L22" s="39" t="s">
        <v>92</v>
      </c>
      <c r="M22" s="39" t="s">
        <v>70</v>
      </c>
      <c r="N22" s="39"/>
      <c r="O22" s="39" t="s">
        <v>70</v>
      </c>
      <c r="P22" s="39"/>
      <c r="Q22" s="40">
        <v>5</v>
      </c>
      <c r="R22" s="40">
        <v>5</v>
      </c>
      <c r="S22" s="40">
        <v>5</v>
      </c>
      <c r="T22" s="40">
        <v>5</v>
      </c>
      <c r="U22" s="40">
        <v>5</v>
      </c>
      <c r="V22" s="40">
        <v>5</v>
      </c>
      <c r="W22" s="40">
        <v>5</v>
      </c>
      <c r="X22" s="40">
        <v>5</v>
      </c>
      <c r="Y22" s="40">
        <v>5</v>
      </c>
      <c r="Z22" s="40">
        <f t="shared" si="1"/>
        <v>5</v>
      </c>
      <c r="AA22" s="41">
        <v>5</v>
      </c>
      <c r="AB22" s="41">
        <v>5</v>
      </c>
      <c r="AC22" s="41">
        <v>5</v>
      </c>
      <c r="AD22" s="41">
        <v>5</v>
      </c>
      <c r="AE22" s="41">
        <v>5</v>
      </c>
      <c r="AF22" s="41">
        <v>5</v>
      </c>
      <c r="AG22" s="41">
        <v>5</v>
      </c>
      <c r="AH22" s="41">
        <v>5</v>
      </c>
      <c r="AI22" s="41">
        <v>5</v>
      </c>
      <c r="AJ22" s="41">
        <f t="shared" si="2"/>
        <v>5</v>
      </c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>
        <v>5</v>
      </c>
      <c r="AW22" s="42">
        <v>5</v>
      </c>
      <c r="AX22" s="42">
        <v>5</v>
      </c>
      <c r="AY22" s="42">
        <v>5</v>
      </c>
      <c r="AZ22" s="42"/>
      <c r="BA22" s="42">
        <f t="shared" si="3"/>
        <v>5</v>
      </c>
      <c r="BB22" s="43">
        <v>5</v>
      </c>
      <c r="BC22" s="43"/>
      <c r="BD22" s="44">
        <v>5</v>
      </c>
      <c r="BE22" s="44"/>
      <c r="BF22" s="45">
        <v>5</v>
      </c>
      <c r="BG22" s="45">
        <v>5</v>
      </c>
      <c r="BH22" s="45">
        <v>5</v>
      </c>
      <c r="BI22" s="45">
        <f t="shared" si="0"/>
        <v>5</v>
      </c>
    </row>
    <row r="23" spans="1:61" ht="16.5" customHeight="1">
      <c r="A23" s="35">
        <v>22</v>
      </c>
      <c r="B23" s="36" t="b">
        <v>0</v>
      </c>
      <c r="C23" s="37" t="s">
        <v>101</v>
      </c>
      <c r="D23" s="37" t="s">
        <v>102</v>
      </c>
      <c r="E23" s="38" t="s">
        <v>72</v>
      </c>
      <c r="F23" s="38" t="s">
        <v>78</v>
      </c>
      <c r="G23" s="38" t="s">
        <v>78</v>
      </c>
      <c r="H23" s="38"/>
      <c r="I23" s="39" t="s">
        <v>65</v>
      </c>
      <c r="J23" s="39" t="s">
        <v>83</v>
      </c>
      <c r="K23" s="39" t="s">
        <v>69</v>
      </c>
      <c r="L23" s="39" t="s">
        <v>92</v>
      </c>
      <c r="M23" s="39" t="s">
        <v>70</v>
      </c>
      <c r="N23" s="39"/>
      <c r="O23" s="39" t="s">
        <v>70</v>
      </c>
      <c r="P23" s="39"/>
      <c r="Q23" s="40">
        <v>5</v>
      </c>
      <c r="R23" s="40">
        <v>5</v>
      </c>
      <c r="S23" s="40">
        <v>5</v>
      </c>
      <c r="T23" s="40">
        <v>5</v>
      </c>
      <c r="U23" s="40">
        <v>3</v>
      </c>
      <c r="V23" s="40">
        <v>5</v>
      </c>
      <c r="W23" s="40">
        <v>5</v>
      </c>
      <c r="X23" s="40">
        <v>1</v>
      </c>
      <c r="Y23" s="40">
        <v>5</v>
      </c>
      <c r="Z23" s="40">
        <f t="shared" si="1"/>
        <v>4.333333333333333</v>
      </c>
      <c r="AA23" s="41">
        <v>5</v>
      </c>
      <c r="AB23" s="41">
        <v>1</v>
      </c>
      <c r="AC23" s="41">
        <v>1</v>
      </c>
      <c r="AD23" s="41">
        <v>1</v>
      </c>
      <c r="AE23" s="41">
        <v>1</v>
      </c>
      <c r="AF23" s="41">
        <v>1</v>
      </c>
      <c r="AG23" s="41">
        <v>1</v>
      </c>
      <c r="AH23" s="41">
        <v>1</v>
      </c>
      <c r="AI23" s="41">
        <v>1</v>
      </c>
      <c r="AJ23" s="41">
        <f t="shared" si="2"/>
        <v>1.4444444444444444</v>
      </c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>
        <v>1</v>
      </c>
      <c r="AW23" s="42">
        <v>5</v>
      </c>
      <c r="AX23" s="42">
        <v>5</v>
      </c>
      <c r="AY23" s="42">
        <v>5</v>
      </c>
      <c r="AZ23" s="42"/>
      <c r="BA23" s="42">
        <f t="shared" si="3"/>
        <v>5</v>
      </c>
      <c r="BB23" s="43">
        <v>5</v>
      </c>
      <c r="BC23" s="43">
        <v>5</v>
      </c>
      <c r="BD23" s="44">
        <v>5</v>
      </c>
      <c r="BE23" s="44"/>
      <c r="BF23" s="45">
        <v>5</v>
      </c>
      <c r="BG23" s="45">
        <v>5</v>
      </c>
      <c r="BH23" s="45">
        <v>5</v>
      </c>
      <c r="BI23" s="45">
        <f t="shared" si="0"/>
        <v>5</v>
      </c>
    </row>
    <row r="24" spans="1:61" ht="16.5" customHeight="1">
      <c r="A24" s="35">
        <v>23</v>
      </c>
      <c r="B24" s="36" t="b">
        <v>0</v>
      </c>
      <c r="C24" s="37" t="s">
        <v>60</v>
      </c>
      <c r="D24" s="37" t="s">
        <v>103</v>
      </c>
      <c r="E24" s="38" t="s">
        <v>104</v>
      </c>
      <c r="F24" s="38" t="s">
        <v>63</v>
      </c>
      <c r="G24" s="38" t="s">
        <v>78</v>
      </c>
      <c r="H24" s="38"/>
      <c r="I24" s="39" t="s">
        <v>65</v>
      </c>
      <c r="J24" s="39" t="s">
        <v>65</v>
      </c>
      <c r="K24" s="39" t="s">
        <v>65</v>
      </c>
      <c r="L24" s="39" t="s">
        <v>92</v>
      </c>
      <c r="M24" s="39" t="s">
        <v>70</v>
      </c>
      <c r="N24" s="39"/>
      <c r="O24" s="39" t="s">
        <v>70</v>
      </c>
      <c r="P24" s="39"/>
      <c r="Q24" s="40">
        <v>5</v>
      </c>
      <c r="R24" s="40">
        <v>5</v>
      </c>
      <c r="S24" s="40">
        <v>5</v>
      </c>
      <c r="T24" s="40">
        <v>5</v>
      </c>
      <c r="U24" s="40">
        <v>5</v>
      </c>
      <c r="V24" s="40">
        <v>5</v>
      </c>
      <c r="W24" s="40">
        <v>5</v>
      </c>
      <c r="X24" s="40">
        <v>5</v>
      </c>
      <c r="Y24" s="40">
        <v>5</v>
      </c>
      <c r="Z24" s="40">
        <f t="shared" si="1"/>
        <v>5</v>
      </c>
      <c r="AA24" s="41">
        <v>3</v>
      </c>
      <c r="AB24" s="41">
        <v>3</v>
      </c>
      <c r="AC24" s="41">
        <v>1</v>
      </c>
      <c r="AD24" s="41">
        <v>1</v>
      </c>
      <c r="AE24" s="41">
        <v>1</v>
      </c>
      <c r="AF24" s="41">
        <v>1</v>
      </c>
      <c r="AG24" s="41">
        <v>1</v>
      </c>
      <c r="AH24" s="41">
        <v>1</v>
      </c>
      <c r="AI24" s="41">
        <v>1</v>
      </c>
      <c r="AJ24" s="41">
        <f t="shared" si="2"/>
        <v>1.4444444444444444</v>
      </c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>
        <v>1</v>
      </c>
      <c r="AW24" s="42">
        <v>5</v>
      </c>
      <c r="AX24" s="42">
        <v>5</v>
      </c>
      <c r="AY24" s="42">
        <v>5</v>
      </c>
      <c r="AZ24" s="42"/>
      <c r="BA24" s="42">
        <f t="shared" si="3"/>
        <v>5</v>
      </c>
      <c r="BB24" s="43">
        <v>5</v>
      </c>
      <c r="BC24" s="43">
        <v>5</v>
      </c>
      <c r="BD24" s="44">
        <v>5</v>
      </c>
      <c r="BE24" s="44"/>
      <c r="BF24" s="45">
        <v>5</v>
      </c>
      <c r="BG24" s="45">
        <v>5</v>
      </c>
      <c r="BH24" s="45">
        <v>5</v>
      </c>
      <c r="BI24" s="45">
        <f t="shared" si="0"/>
        <v>5</v>
      </c>
    </row>
    <row r="25" spans="1:61" ht="16.5" customHeight="1">
      <c r="A25" s="35">
        <v>24</v>
      </c>
      <c r="B25" s="36" t="b">
        <v>0</v>
      </c>
      <c r="C25" s="37" t="s">
        <v>101</v>
      </c>
      <c r="D25" s="37"/>
      <c r="E25" s="38" t="s">
        <v>96</v>
      </c>
      <c r="F25" s="38" t="s">
        <v>78</v>
      </c>
      <c r="G25" s="38" t="s">
        <v>78</v>
      </c>
      <c r="H25" s="38"/>
      <c r="I25" s="39" t="s">
        <v>65</v>
      </c>
      <c r="J25" s="39" t="s">
        <v>83</v>
      </c>
      <c r="K25" s="39"/>
      <c r="L25" s="39">
        <v>2.5</v>
      </c>
      <c r="M25" s="39"/>
      <c r="N25" s="39"/>
      <c r="O25" s="39"/>
      <c r="P25" s="39"/>
      <c r="Q25" s="40">
        <v>5</v>
      </c>
      <c r="R25" s="40">
        <v>5</v>
      </c>
      <c r="S25" s="40">
        <v>5</v>
      </c>
      <c r="T25" s="40">
        <v>5</v>
      </c>
      <c r="U25" s="40">
        <v>5</v>
      </c>
      <c r="V25" s="40">
        <v>5</v>
      </c>
      <c r="W25" s="40">
        <v>5</v>
      </c>
      <c r="X25" s="40">
        <v>5</v>
      </c>
      <c r="Y25" s="40">
        <v>5</v>
      </c>
      <c r="Z25" s="40">
        <f t="shared" si="1"/>
        <v>5</v>
      </c>
      <c r="AA25" s="41">
        <v>3</v>
      </c>
      <c r="AB25" s="41">
        <v>1</v>
      </c>
      <c r="AC25" s="41">
        <v>1</v>
      </c>
      <c r="AD25" s="41">
        <v>1</v>
      </c>
      <c r="AE25" s="41">
        <v>1</v>
      </c>
      <c r="AF25" s="41">
        <v>1</v>
      </c>
      <c r="AG25" s="41">
        <v>1</v>
      </c>
      <c r="AH25" s="41">
        <v>1</v>
      </c>
      <c r="AI25" s="41">
        <v>1</v>
      </c>
      <c r="AJ25" s="41">
        <f t="shared" si="2"/>
        <v>1.2222222222222223</v>
      </c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>
        <v>1</v>
      </c>
      <c r="AW25" s="42">
        <v>5</v>
      </c>
      <c r="AX25" s="42">
        <v>5</v>
      </c>
      <c r="AY25" s="42">
        <v>5</v>
      </c>
      <c r="AZ25" s="42"/>
      <c r="BA25" s="42">
        <f t="shared" si="3"/>
        <v>5</v>
      </c>
      <c r="BB25" s="43"/>
      <c r="BC25" s="43"/>
      <c r="BD25" s="44"/>
      <c r="BE25" s="44"/>
      <c r="BF25" s="45"/>
      <c r="BG25" s="45"/>
      <c r="BH25" s="45"/>
      <c r="BI25" s="45" t="e">
        <f>AVERAGE(BB25:BH25)</f>
        <v>#DIV/0!</v>
      </c>
    </row>
    <row r="26" spans="1:61" ht="16.5" customHeight="1">
      <c r="A26" s="35">
        <v>25</v>
      </c>
      <c r="B26" s="36" t="b">
        <v>0</v>
      </c>
      <c r="C26" s="37" t="s">
        <v>79</v>
      </c>
      <c r="D26" s="37"/>
      <c r="E26" s="38" t="s">
        <v>75</v>
      </c>
      <c r="F26" s="38" t="s">
        <v>105</v>
      </c>
      <c r="G26" s="38" t="s">
        <v>64</v>
      </c>
      <c r="H26" s="38"/>
      <c r="I26" s="39" t="s">
        <v>65</v>
      </c>
      <c r="J26" s="39" t="s">
        <v>65</v>
      </c>
      <c r="K26" s="39"/>
      <c r="L26" s="39">
        <v>2.5</v>
      </c>
      <c r="M26" s="39"/>
      <c r="N26" s="39"/>
      <c r="O26" s="39" t="s">
        <v>70</v>
      </c>
      <c r="P26" s="39"/>
      <c r="Q26" s="40">
        <v>5</v>
      </c>
      <c r="R26" s="40">
        <v>5</v>
      </c>
      <c r="S26" s="40">
        <v>5</v>
      </c>
      <c r="T26" s="40">
        <v>5</v>
      </c>
      <c r="U26" s="40">
        <v>5</v>
      </c>
      <c r="V26" s="40">
        <v>5</v>
      </c>
      <c r="W26" s="40">
        <v>5</v>
      </c>
      <c r="X26" s="40">
        <v>5</v>
      </c>
      <c r="Y26" s="40">
        <v>5</v>
      </c>
      <c r="Z26" s="40">
        <f t="shared" si="1"/>
        <v>5</v>
      </c>
      <c r="AA26" s="41">
        <v>1</v>
      </c>
      <c r="AB26" s="41">
        <v>1</v>
      </c>
      <c r="AC26" s="41">
        <v>5</v>
      </c>
      <c r="AD26" s="41">
        <v>5</v>
      </c>
      <c r="AE26" s="41">
        <v>1</v>
      </c>
      <c r="AF26" s="41">
        <v>5</v>
      </c>
      <c r="AG26" s="41">
        <v>3</v>
      </c>
      <c r="AH26" s="41">
        <v>5</v>
      </c>
      <c r="AI26" s="41">
        <v>5</v>
      </c>
      <c r="AJ26" s="41">
        <f t="shared" si="2"/>
        <v>3.4444444444444446</v>
      </c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>
        <v>5</v>
      </c>
      <c r="AW26" s="42">
        <v>5</v>
      </c>
      <c r="AX26" s="42">
        <v>5</v>
      </c>
      <c r="AY26" s="42">
        <v>5</v>
      </c>
      <c r="AZ26" s="42"/>
      <c r="BA26" s="42">
        <f t="shared" si="3"/>
        <v>5</v>
      </c>
      <c r="BB26" s="43">
        <v>5</v>
      </c>
      <c r="BC26" s="43"/>
      <c r="BD26" s="44"/>
      <c r="BE26" s="44"/>
      <c r="BF26" s="45">
        <v>5</v>
      </c>
      <c r="BG26" s="45">
        <v>5</v>
      </c>
      <c r="BH26" s="45">
        <v>5</v>
      </c>
      <c r="BI26" s="45">
        <f t="shared" si="0"/>
        <v>5</v>
      </c>
    </row>
    <row r="27" spans="1:61" ht="16.5" customHeight="1">
      <c r="A27" s="35">
        <v>26</v>
      </c>
      <c r="B27" s="36" t="b">
        <v>0</v>
      </c>
      <c r="C27" s="37" t="s">
        <v>60</v>
      </c>
      <c r="D27" s="37" t="s">
        <v>106</v>
      </c>
      <c r="E27" s="38" t="s">
        <v>107</v>
      </c>
      <c r="F27" s="38" t="s">
        <v>74</v>
      </c>
      <c r="G27" s="38" t="s">
        <v>78</v>
      </c>
      <c r="H27" s="38">
        <v>2015</v>
      </c>
      <c r="I27" s="46" t="s">
        <v>69</v>
      </c>
      <c r="J27" s="39" t="s">
        <v>69</v>
      </c>
      <c r="K27" s="39"/>
      <c r="L27" s="39">
        <v>2.5</v>
      </c>
      <c r="M27" s="39"/>
      <c r="N27" s="39"/>
      <c r="O27" s="39" t="s">
        <v>70</v>
      </c>
      <c r="P27" s="39"/>
      <c r="Q27" s="40">
        <v>5</v>
      </c>
      <c r="R27" s="40">
        <v>5</v>
      </c>
      <c r="S27" s="40">
        <v>5</v>
      </c>
      <c r="T27" s="40">
        <v>5</v>
      </c>
      <c r="U27" s="40">
        <v>5</v>
      </c>
      <c r="V27" s="40">
        <v>5</v>
      </c>
      <c r="W27" s="40">
        <v>5</v>
      </c>
      <c r="X27" s="40">
        <v>5</v>
      </c>
      <c r="Y27" s="40">
        <v>5</v>
      </c>
      <c r="Z27" s="40">
        <f t="shared" si="1"/>
        <v>5</v>
      </c>
      <c r="AA27" s="41">
        <v>1</v>
      </c>
      <c r="AB27" s="41">
        <v>1</v>
      </c>
      <c r="AC27" s="41">
        <v>1</v>
      </c>
      <c r="AD27" s="41">
        <v>1</v>
      </c>
      <c r="AE27" s="41">
        <v>1</v>
      </c>
      <c r="AF27" s="41">
        <v>1</v>
      </c>
      <c r="AG27" s="41">
        <v>1</v>
      </c>
      <c r="AH27" s="41">
        <v>1</v>
      </c>
      <c r="AI27" s="41">
        <v>1</v>
      </c>
      <c r="AJ27" s="41">
        <f t="shared" si="2"/>
        <v>1</v>
      </c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>
        <v>1</v>
      </c>
      <c r="AW27" s="42">
        <v>5</v>
      </c>
      <c r="AX27" s="42">
        <v>5</v>
      </c>
      <c r="AY27" s="42">
        <v>5</v>
      </c>
      <c r="AZ27" s="42"/>
      <c r="BA27" s="42">
        <f t="shared" si="3"/>
        <v>5</v>
      </c>
      <c r="BB27" s="43">
        <v>5</v>
      </c>
      <c r="BC27" s="43"/>
      <c r="BD27" s="44"/>
      <c r="BE27" s="44"/>
      <c r="BF27" s="45">
        <v>5</v>
      </c>
      <c r="BG27" s="45">
        <v>5</v>
      </c>
      <c r="BH27" s="45">
        <v>5</v>
      </c>
      <c r="BI27" s="45">
        <f t="shared" si="0"/>
        <v>5</v>
      </c>
    </row>
    <row r="28" spans="1:61" ht="16.5" customHeight="1">
      <c r="A28" s="35">
        <v>27</v>
      </c>
      <c r="B28" s="36" t="b">
        <v>0</v>
      </c>
      <c r="C28" s="37" t="s">
        <v>108</v>
      </c>
      <c r="D28" s="37" t="s">
        <v>109</v>
      </c>
      <c r="E28" s="38" t="s">
        <v>73</v>
      </c>
      <c r="F28" s="38" t="s">
        <v>63</v>
      </c>
      <c r="G28" s="38" t="s">
        <v>78</v>
      </c>
      <c r="H28" s="38"/>
      <c r="I28" s="39" t="s">
        <v>65</v>
      </c>
      <c r="J28" s="39" t="s">
        <v>65</v>
      </c>
      <c r="K28" s="39"/>
      <c r="L28" s="39">
        <v>2.5</v>
      </c>
      <c r="M28" s="39" t="s">
        <v>70</v>
      </c>
      <c r="N28" s="39"/>
      <c r="O28" s="39"/>
      <c r="P28" s="39"/>
      <c r="Q28" s="40"/>
      <c r="R28" s="40">
        <v>5</v>
      </c>
      <c r="S28" s="40">
        <v>5</v>
      </c>
      <c r="T28" s="40">
        <v>5</v>
      </c>
      <c r="U28" s="40">
        <v>5</v>
      </c>
      <c r="V28" s="40">
        <v>5</v>
      </c>
      <c r="W28" s="40">
        <v>5</v>
      </c>
      <c r="X28" s="40">
        <v>5</v>
      </c>
      <c r="Y28" s="40">
        <v>5</v>
      </c>
      <c r="Z28" s="40">
        <f t="shared" si="1"/>
        <v>5</v>
      </c>
      <c r="AA28" s="41"/>
      <c r="AB28" s="41">
        <v>1</v>
      </c>
      <c r="AC28" s="41">
        <v>1</v>
      </c>
      <c r="AD28" s="41">
        <v>5</v>
      </c>
      <c r="AE28" s="41">
        <v>1</v>
      </c>
      <c r="AF28" s="41">
        <v>5</v>
      </c>
      <c r="AG28" s="41">
        <v>5</v>
      </c>
      <c r="AH28" s="41">
        <v>5</v>
      </c>
      <c r="AI28" s="41">
        <v>3</v>
      </c>
      <c r="AJ28" s="41">
        <f t="shared" si="2"/>
        <v>3.25</v>
      </c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>
        <v>2</v>
      </c>
      <c r="AW28" s="42">
        <v>5</v>
      </c>
      <c r="AX28" s="42">
        <v>5</v>
      </c>
      <c r="AY28" s="42"/>
      <c r="AZ28" s="42"/>
      <c r="BA28" s="42">
        <f t="shared" si="3"/>
        <v>5</v>
      </c>
      <c r="BB28" s="43"/>
      <c r="BC28" s="43"/>
      <c r="BD28" s="44"/>
      <c r="BE28" s="44"/>
      <c r="BF28" s="45"/>
      <c r="BG28" s="45"/>
      <c r="BH28" s="45"/>
      <c r="BI28" s="45" t="e">
        <f t="shared" si="0"/>
        <v>#DIV/0!</v>
      </c>
    </row>
    <row r="29" spans="1:61" ht="16.5" customHeight="1">
      <c r="A29" s="35">
        <v>28</v>
      </c>
      <c r="B29" s="36" t="b">
        <v>0</v>
      </c>
      <c r="C29" s="37" t="s">
        <v>84</v>
      </c>
      <c r="D29" s="37"/>
      <c r="E29" s="38" t="s">
        <v>73</v>
      </c>
      <c r="F29" s="38" t="s">
        <v>63</v>
      </c>
      <c r="G29" s="38" t="s">
        <v>78</v>
      </c>
      <c r="H29" s="38"/>
      <c r="I29" s="46" t="s">
        <v>69</v>
      </c>
      <c r="J29" s="39" t="s">
        <v>69</v>
      </c>
      <c r="K29" s="39"/>
      <c r="L29" s="39">
        <v>2.5</v>
      </c>
      <c r="M29" s="39"/>
      <c r="N29" s="39"/>
      <c r="O29" s="39" t="s">
        <v>70</v>
      </c>
      <c r="P29" s="39"/>
      <c r="Q29" s="40">
        <v>3</v>
      </c>
      <c r="R29" s="40">
        <v>3</v>
      </c>
      <c r="S29" s="40">
        <v>3</v>
      </c>
      <c r="T29" s="40">
        <v>3</v>
      </c>
      <c r="U29" s="40">
        <v>3</v>
      </c>
      <c r="V29" s="40">
        <v>3</v>
      </c>
      <c r="W29" s="40">
        <v>3</v>
      </c>
      <c r="X29" s="40">
        <v>3</v>
      </c>
      <c r="Y29" s="40">
        <v>3</v>
      </c>
      <c r="Z29" s="40">
        <f t="shared" si="1"/>
        <v>3</v>
      </c>
      <c r="AA29" s="41">
        <v>1</v>
      </c>
      <c r="AB29" s="41">
        <v>1</v>
      </c>
      <c r="AC29" s="41">
        <v>1</v>
      </c>
      <c r="AD29" s="41">
        <v>5</v>
      </c>
      <c r="AE29" s="41">
        <v>5</v>
      </c>
      <c r="AF29" s="41">
        <v>5</v>
      </c>
      <c r="AG29" s="41">
        <v>5</v>
      </c>
      <c r="AH29" s="41">
        <v>1</v>
      </c>
      <c r="AI29" s="41">
        <v>3</v>
      </c>
      <c r="AJ29" s="41">
        <f t="shared" si="2"/>
        <v>3</v>
      </c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>
        <v>1</v>
      </c>
      <c r="AW29" s="42">
        <v>5</v>
      </c>
      <c r="AX29" s="42">
        <v>5</v>
      </c>
      <c r="AY29" s="42">
        <v>5</v>
      </c>
      <c r="AZ29" s="42"/>
      <c r="BA29" s="42">
        <f t="shared" si="3"/>
        <v>5</v>
      </c>
      <c r="BB29" s="43">
        <v>5</v>
      </c>
      <c r="BC29" s="43"/>
      <c r="BD29" s="44"/>
      <c r="BE29" s="44"/>
      <c r="BF29" s="45">
        <v>5</v>
      </c>
      <c r="BG29" s="45">
        <v>5</v>
      </c>
      <c r="BH29" s="45">
        <v>5</v>
      </c>
      <c r="BI29" s="45">
        <f t="shared" si="0"/>
        <v>5</v>
      </c>
    </row>
    <row r="30" spans="1:61" ht="16.5" customHeight="1">
      <c r="A30" s="35">
        <v>29</v>
      </c>
      <c r="B30" s="36" t="b">
        <v>0</v>
      </c>
      <c r="C30" s="37" t="s">
        <v>60</v>
      </c>
      <c r="D30" s="37" t="s">
        <v>103</v>
      </c>
      <c r="E30" s="38" t="s">
        <v>72</v>
      </c>
      <c r="F30" s="38" t="s">
        <v>105</v>
      </c>
      <c r="G30" s="38" t="s">
        <v>64</v>
      </c>
      <c r="H30" s="38"/>
      <c r="I30" s="39" t="s">
        <v>65</v>
      </c>
      <c r="J30" s="39" t="s">
        <v>83</v>
      </c>
      <c r="K30" s="39" t="s">
        <v>65</v>
      </c>
      <c r="L30" s="39" t="s">
        <v>92</v>
      </c>
      <c r="M30" s="39" t="s">
        <v>70</v>
      </c>
      <c r="N30" s="39"/>
      <c r="O30" s="39" t="s">
        <v>70</v>
      </c>
      <c r="P30" s="39"/>
      <c r="Q30" s="40">
        <v>5</v>
      </c>
      <c r="R30" s="40">
        <v>5</v>
      </c>
      <c r="S30" s="40">
        <v>5</v>
      </c>
      <c r="T30" s="40">
        <v>5</v>
      </c>
      <c r="U30" s="40">
        <v>5</v>
      </c>
      <c r="V30" s="40">
        <v>5</v>
      </c>
      <c r="W30" s="40">
        <v>5</v>
      </c>
      <c r="X30" s="40">
        <v>5</v>
      </c>
      <c r="Y30" s="40">
        <v>5</v>
      </c>
      <c r="Z30" s="40">
        <f t="shared" si="1"/>
        <v>5</v>
      </c>
      <c r="AA30" s="41">
        <v>3</v>
      </c>
      <c r="AB30" s="41">
        <v>1</v>
      </c>
      <c r="AC30" s="41">
        <v>1</v>
      </c>
      <c r="AD30" s="41">
        <v>1</v>
      </c>
      <c r="AE30" s="41">
        <v>1</v>
      </c>
      <c r="AF30" s="41">
        <v>1</v>
      </c>
      <c r="AG30" s="41">
        <v>3</v>
      </c>
      <c r="AH30" s="41">
        <v>1</v>
      </c>
      <c r="AI30" s="41">
        <v>1</v>
      </c>
      <c r="AJ30" s="41">
        <f t="shared" si="2"/>
        <v>1.4444444444444444</v>
      </c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>
        <v>1</v>
      </c>
      <c r="AW30" s="42">
        <v>5</v>
      </c>
      <c r="AX30" s="42">
        <v>5</v>
      </c>
      <c r="AY30" s="42">
        <v>5</v>
      </c>
      <c r="AZ30" s="42"/>
      <c r="BA30" s="42">
        <f t="shared" si="3"/>
        <v>5</v>
      </c>
      <c r="BB30" s="43">
        <v>5</v>
      </c>
      <c r="BC30" s="43">
        <v>5</v>
      </c>
      <c r="BD30" s="44">
        <v>5</v>
      </c>
      <c r="BE30" s="44"/>
      <c r="BF30" s="45">
        <v>5</v>
      </c>
      <c r="BG30" s="45">
        <v>5</v>
      </c>
      <c r="BH30" s="45">
        <v>5</v>
      </c>
      <c r="BI30" s="45">
        <f t="shared" si="0"/>
        <v>5</v>
      </c>
    </row>
    <row r="31" spans="1:61" ht="16.5" customHeight="1">
      <c r="A31" s="35">
        <v>30</v>
      </c>
      <c r="B31" s="36" t="b">
        <v>0</v>
      </c>
      <c r="C31" s="37" t="s">
        <v>90</v>
      </c>
      <c r="D31" s="37" t="s">
        <v>110</v>
      </c>
      <c r="E31" s="38" t="s">
        <v>62</v>
      </c>
      <c r="F31" s="38" t="s">
        <v>74</v>
      </c>
      <c r="G31" s="38"/>
      <c r="H31" s="38"/>
      <c r="I31" s="39" t="s">
        <v>65</v>
      </c>
      <c r="J31" s="39" t="s">
        <v>83</v>
      </c>
      <c r="K31" s="39" t="s">
        <v>65</v>
      </c>
      <c r="L31" s="39" t="s">
        <v>92</v>
      </c>
      <c r="M31" s="39" t="s">
        <v>70</v>
      </c>
      <c r="N31" s="39"/>
      <c r="O31" s="39"/>
      <c r="P31" s="39"/>
      <c r="Q31" s="40"/>
      <c r="R31" s="40">
        <v>4</v>
      </c>
      <c r="S31" s="40">
        <v>4</v>
      </c>
      <c r="T31" s="40">
        <v>4</v>
      </c>
      <c r="U31" s="40">
        <v>3</v>
      </c>
      <c r="V31" s="40">
        <v>4</v>
      </c>
      <c r="W31" s="40">
        <v>4</v>
      </c>
      <c r="X31" s="40">
        <v>3</v>
      </c>
      <c r="Y31" s="40">
        <v>3</v>
      </c>
      <c r="Z31" s="40">
        <f t="shared" si="1"/>
        <v>3.625</v>
      </c>
      <c r="AA31" s="41"/>
      <c r="AB31" s="41">
        <v>5</v>
      </c>
      <c r="AC31" s="41">
        <v>5</v>
      </c>
      <c r="AD31" s="41">
        <v>5</v>
      </c>
      <c r="AE31" s="41">
        <v>5</v>
      </c>
      <c r="AF31" s="41">
        <v>5</v>
      </c>
      <c r="AG31" s="41">
        <v>5</v>
      </c>
      <c r="AH31" s="41">
        <v>5</v>
      </c>
      <c r="AI31" s="41">
        <v>5</v>
      </c>
      <c r="AJ31" s="41">
        <f t="shared" si="2"/>
        <v>5</v>
      </c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>
        <v>5</v>
      </c>
      <c r="AW31" s="42">
        <v>4</v>
      </c>
      <c r="AX31" s="42">
        <v>4</v>
      </c>
      <c r="AY31" s="42">
        <v>4</v>
      </c>
      <c r="AZ31" s="42"/>
      <c r="BA31" s="42">
        <f t="shared" si="3"/>
        <v>4</v>
      </c>
      <c r="BB31" s="43">
        <v>5</v>
      </c>
      <c r="BC31" s="43">
        <v>5</v>
      </c>
      <c r="BD31" s="44">
        <v>5</v>
      </c>
      <c r="BE31" s="44"/>
      <c r="BF31" s="45">
        <v>4</v>
      </c>
      <c r="BG31" s="45">
        <v>5</v>
      </c>
      <c r="BH31" s="45">
        <v>4</v>
      </c>
      <c r="BI31" s="45">
        <f t="shared" si="0"/>
        <v>4.666666666666667</v>
      </c>
    </row>
    <row r="32" spans="1:61" ht="16.5" customHeight="1">
      <c r="A32" s="35">
        <v>31</v>
      </c>
      <c r="B32" s="36" t="b">
        <v>0</v>
      </c>
      <c r="C32" s="37" t="s">
        <v>101</v>
      </c>
      <c r="D32" s="37" t="s">
        <v>102</v>
      </c>
      <c r="E32" s="38" t="s">
        <v>111</v>
      </c>
      <c r="F32" s="38" t="s">
        <v>63</v>
      </c>
      <c r="G32" s="38" t="s">
        <v>64</v>
      </c>
      <c r="H32" s="38"/>
      <c r="I32" s="39" t="s">
        <v>65</v>
      </c>
      <c r="J32" s="39" t="s">
        <v>83</v>
      </c>
      <c r="K32" s="39" t="s">
        <v>69</v>
      </c>
      <c r="L32" s="39" t="s">
        <v>92</v>
      </c>
      <c r="M32" s="39" t="s">
        <v>70</v>
      </c>
      <c r="N32" s="39"/>
      <c r="O32" s="39"/>
      <c r="P32" s="39"/>
      <c r="Q32" s="40">
        <v>5</v>
      </c>
      <c r="R32" s="40">
        <v>5</v>
      </c>
      <c r="S32" s="40">
        <v>5</v>
      </c>
      <c r="T32" s="40">
        <v>5</v>
      </c>
      <c r="U32" s="40">
        <v>5</v>
      </c>
      <c r="V32" s="40">
        <v>5</v>
      </c>
      <c r="W32" s="40">
        <v>5</v>
      </c>
      <c r="X32" s="40">
        <v>5</v>
      </c>
      <c r="Y32" s="40">
        <v>5</v>
      </c>
      <c r="Z32" s="40">
        <f t="shared" si="1"/>
        <v>5</v>
      </c>
      <c r="AA32" s="41">
        <v>3</v>
      </c>
      <c r="AB32" s="41">
        <v>1</v>
      </c>
      <c r="AC32" s="41">
        <v>1</v>
      </c>
      <c r="AD32" s="41">
        <v>1</v>
      </c>
      <c r="AE32" s="41">
        <v>5</v>
      </c>
      <c r="AF32" s="41">
        <v>1</v>
      </c>
      <c r="AG32" s="41">
        <v>3</v>
      </c>
      <c r="AH32" s="41">
        <v>1</v>
      </c>
      <c r="AI32" s="41">
        <v>1</v>
      </c>
      <c r="AJ32" s="41">
        <f t="shared" si="2"/>
        <v>1.8888888888888888</v>
      </c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>
        <v>1</v>
      </c>
      <c r="AW32" s="42">
        <v>5</v>
      </c>
      <c r="AX32" s="42">
        <v>5</v>
      </c>
      <c r="AY32" s="42"/>
      <c r="AZ32" s="42"/>
      <c r="BA32" s="42">
        <f t="shared" si="3"/>
        <v>5</v>
      </c>
      <c r="BB32" s="43">
        <v>5</v>
      </c>
      <c r="BC32" s="43">
        <v>5</v>
      </c>
      <c r="BD32" s="44">
        <v>5</v>
      </c>
      <c r="BE32" s="44"/>
      <c r="BF32" s="45">
        <v>5</v>
      </c>
      <c r="BG32" s="45">
        <v>5</v>
      </c>
      <c r="BH32" s="45"/>
      <c r="BI32" s="45">
        <f t="shared" si="0"/>
        <v>5</v>
      </c>
    </row>
    <row r="33" spans="1:61" ht="16.5" customHeight="1">
      <c r="A33" s="35">
        <v>32</v>
      </c>
      <c r="B33" s="36" t="b">
        <v>0</v>
      </c>
      <c r="C33" s="37" t="s">
        <v>90</v>
      </c>
      <c r="D33" s="37" t="s">
        <v>112</v>
      </c>
      <c r="E33" s="38" t="s">
        <v>96</v>
      </c>
      <c r="F33" s="38" t="s">
        <v>113</v>
      </c>
      <c r="G33" s="38" t="s">
        <v>64</v>
      </c>
      <c r="H33" s="38"/>
      <c r="I33" s="46" t="s">
        <v>69</v>
      </c>
      <c r="J33" s="39" t="s">
        <v>83</v>
      </c>
      <c r="K33" s="39"/>
      <c r="L33" s="39">
        <v>2.5</v>
      </c>
      <c r="M33" s="39"/>
      <c r="N33" s="39"/>
      <c r="O33" s="39"/>
      <c r="P33" s="39"/>
      <c r="Q33" s="40">
        <v>5</v>
      </c>
      <c r="R33" s="40">
        <v>5</v>
      </c>
      <c r="S33" s="40">
        <v>5</v>
      </c>
      <c r="T33" s="40">
        <v>5</v>
      </c>
      <c r="U33" s="40">
        <v>5</v>
      </c>
      <c r="V33" s="40">
        <v>5</v>
      </c>
      <c r="W33" s="40">
        <v>2</v>
      </c>
      <c r="X33" s="40">
        <v>5</v>
      </c>
      <c r="Y33" s="40">
        <v>5</v>
      </c>
      <c r="Z33" s="40">
        <f t="shared" si="1"/>
        <v>4.666666666666667</v>
      </c>
      <c r="AA33" s="41"/>
      <c r="AB33" s="41">
        <v>3</v>
      </c>
      <c r="AC33" s="41">
        <v>1</v>
      </c>
      <c r="AD33" s="41">
        <v>5</v>
      </c>
      <c r="AE33" s="41">
        <v>5</v>
      </c>
      <c r="AF33" s="41">
        <v>5</v>
      </c>
      <c r="AG33" s="41">
        <v>5</v>
      </c>
      <c r="AH33" s="41">
        <v>1</v>
      </c>
      <c r="AI33" s="41">
        <v>5</v>
      </c>
      <c r="AJ33" s="41">
        <f t="shared" si="2"/>
        <v>3.75</v>
      </c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>
        <v>1</v>
      </c>
      <c r="AW33" s="42">
        <v>3</v>
      </c>
      <c r="AX33" s="42">
        <v>3</v>
      </c>
      <c r="AY33" s="42"/>
      <c r="AZ33" s="42"/>
      <c r="BA33" s="42">
        <f t="shared" si="3"/>
        <v>3</v>
      </c>
      <c r="BB33" s="43"/>
      <c r="BC33" s="43"/>
      <c r="BD33" s="44"/>
      <c r="BE33" s="44"/>
      <c r="BF33" s="45"/>
      <c r="BG33" s="45"/>
      <c r="BH33" s="45"/>
      <c r="BI33" s="45" t="e">
        <f>AVERAGE(BB33:BH33)</f>
        <v>#DIV/0!</v>
      </c>
    </row>
    <row r="34" spans="1:61" ht="16.5" customHeight="1">
      <c r="A34" s="48">
        <v>33</v>
      </c>
      <c r="B34" s="49" t="b">
        <v>0</v>
      </c>
      <c r="C34" s="37" t="s">
        <v>114</v>
      </c>
      <c r="D34" s="37" t="s">
        <v>115</v>
      </c>
      <c r="E34" s="38" t="s">
        <v>73</v>
      </c>
      <c r="F34" s="38" t="s">
        <v>78</v>
      </c>
      <c r="G34" s="38"/>
      <c r="H34" s="38"/>
      <c r="I34" s="39" t="s">
        <v>65</v>
      </c>
      <c r="J34" s="39" t="s">
        <v>83</v>
      </c>
      <c r="K34" s="39"/>
      <c r="L34" s="39">
        <v>2.5</v>
      </c>
      <c r="M34" s="39"/>
      <c r="N34" s="39"/>
      <c r="O34" s="39" t="s">
        <v>70</v>
      </c>
      <c r="P34" s="39"/>
      <c r="Q34" s="40">
        <v>5</v>
      </c>
      <c r="R34" s="40">
        <v>5</v>
      </c>
      <c r="S34" s="40">
        <v>5</v>
      </c>
      <c r="T34" s="40">
        <v>5</v>
      </c>
      <c r="U34" s="40">
        <v>5</v>
      </c>
      <c r="V34" s="40">
        <v>5</v>
      </c>
      <c r="W34" s="40">
        <v>5</v>
      </c>
      <c r="X34" s="40">
        <v>5</v>
      </c>
      <c r="Y34" s="40">
        <v>5</v>
      </c>
      <c r="Z34" s="40">
        <f t="shared" si="1"/>
        <v>5</v>
      </c>
      <c r="AA34" s="41">
        <v>1</v>
      </c>
      <c r="AB34" s="41">
        <v>1</v>
      </c>
      <c r="AC34" s="41">
        <v>1</v>
      </c>
      <c r="AD34" s="41">
        <v>5</v>
      </c>
      <c r="AE34" s="41">
        <v>1</v>
      </c>
      <c r="AF34" s="41">
        <v>3</v>
      </c>
      <c r="AG34" s="41">
        <v>1</v>
      </c>
      <c r="AH34" s="41">
        <v>1</v>
      </c>
      <c r="AI34" s="41">
        <v>1</v>
      </c>
      <c r="AJ34" s="41">
        <f t="shared" si="2"/>
        <v>1.6666666666666667</v>
      </c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>
        <v>2</v>
      </c>
      <c r="AW34" s="42">
        <v>5</v>
      </c>
      <c r="AX34" s="42">
        <v>5</v>
      </c>
      <c r="AY34" s="42">
        <v>5</v>
      </c>
      <c r="AZ34" s="42"/>
      <c r="BA34" s="42">
        <f t="shared" si="3"/>
        <v>5</v>
      </c>
      <c r="BB34" s="43">
        <v>5</v>
      </c>
      <c r="BC34" s="43">
        <v>5</v>
      </c>
      <c r="BD34" s="44">
        <v>5</v>
      </c>
      <c r="BE34" s="44"/>
      <c r="BF34" s="45">
        <v>5</v>
      </c>
      <c r="BG34" s="45">
        <v>5</v>
      </c>
      <c r="BH34" s="45">
        <v>5</v>
      </c>
      <c r="BI34" s="45">
        <f t="shared" si="0"/>
        <v>5</v>
      </c>
    </row>
    <row r="35" spans="1:61" ht="16.5" customHeight="1">
      <c r="A35" s="48">
        <v>34</v>
      </c>
      <c r="B35" s="49" t="b">
        <v>0</v>
      </c>
      <c r="C35" s="37" t="s">
        <v>95</v>
      </c>
      <c r="D35" s="37"/>
      <c r="E35" s="38" t="s">
        <v>116</v>
      </c>
      <c r="F35" s="38" t="s">
        <v>105</v>
      </c>
      <c r="G35" s="38" t="s">
        <v>78</v>
      </c>
      <c r="H35" s="38"/>
      <c r="I35" s="39" t="s">
        <v>65</v>
      </c>
      <c r="J35" s="39" t="s">
        <v>65</v>
      </c>
      <c r="K35" s="39"/>
      <c r="L35" s="39">
        <v>2.5</v>
      </c>
      <c r="M35" s="39"/>
      <c r="N35" s="39"/>
      <c r="O35" s="39" t="s">
        <v>70</v>
      </c>
      <c r="P35" s="39"/>
      <c r="Q35" s="40">
        <v>5</v>
      </c>
      <c r="R35" s="40">
        <v>5</v>
      </c>
      <c r="S35" s="40">
        <v>5</v>
      </c>
      <c r="T35" s="40">
        <v>5</v>
      </c>
      <c r="U35" s="40">
        <v>5</v>
      </c>
      <c r="V35" s="40">
        <v>5</v>
      </c>
      <c r="W35" s="40">
        <v>5</v>
      </c>
      <c r="X35" s="40">
        <v>5</v>
      </c>
      <c r="Y35" s="40">
        <v>5</v>
      </c>
      <c r="Z35" s="40">
        <f t="shared" si="1"/>
        <v>5</v>
      </c>
      <c r="AA35" s="41">
        <v>1</v>
      </c>
      <c r="AB35" s="41">
        <v>1</v>
      </c>
      <c r="AC35" s="41">
        <v>1</v>
      </c>
      <c r="AD35" s="41">
        <v>1</v>
      </c>
      <c r="AE35" s="41">
        <v>1</v>
      </c>
      <c r="AF35" s="41">
        <v>1</v>
      </c>
      <c r="AG35" s="41">
        <v>1</v>
      </c>
      <c r="AH35" s="41">
        <v>1</v>
      </c>
      <c r="AI35" s="41">
        <v>1</v>
      </c>
      <c r="AJ35" s="41">
        <f t="shared" si="2"/>
        <v>1</v>
      </c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2">
        <v>5</v>
      </c>
      <c r="AX35" s="42">
        <v>5</v>
      </c>
      <c r="AY35" s="42">
        <v>5</v>
      </c>
      <c r="AZ35" s="42"/>
      <c r="BA35" s="42">
        <f t="shared" si="3"/>
        <v>5</v>
      </c>
      <c r="BB35" s="43">
        <v>5</v>
      </c>
      <c r="BC35" s="43">
        <v>1</v>
      </c>
      <c r="BD35" s="44">
        <v>5</v>
      </c>
      <c r="BE35" s="44"/>
      <c r="BF35" s="45">
        <v>5</v>
      </c>
      <c r="BG35" s="45">
        <v>5</v>
      </c>
      <c r="BH35" s="45">
        <v>5</v>
      </c>
      <c r="BI35" s="45">
        <f t="shared" si="0"/>
        <v>4.333333333333333</v>
      </c>
    </row>
    <row r="36" spans="1:61" ht="16.5" customHeight="1">
      <c r="A36" s="48">
        <v>35</v>
      </c>
      <c r="B36" s="49" t="b">
        <v>0</v>
      </c>
      <c r="C36" s="37" t="s">
        <v>90</v>
      </c>
      <c r="D36" s="37" t="s">
        <v>117</v>
      </c>
      <c r="E36" s="38" t="s">
        <v>97</v>
      </c>
      <c r="F36" s="38" t="s">
        <v>63</v>
      </c>
      <c r="G36" s="38"/>
      <c r="H36" s="38"/>
      <c r="I36" s="46" t="s">
        <v>69</v>
      </c>
      <c r="J36" s="39" t="s">
        <v>69</v>
      </c>
      <c r="K36" s="39" t="s">
        <v>65</v>
      </c>
      <c r="L36" s="39" t="s">
        <v>92</v>
      </c>
      <c r="M36" s="39" t="s">
        <v>70</v>
      </c>
      <c r="N36" s="39"/>
      <c r="O36" s="39"/>
      <c r="P36" s="39"/>
      <c r="Q36" s="40">
        <v>5</v>
      </c>
      <c r="R36" s="40">
        <v>5</v>
      </c>
      <c r="S36" s="40">
        <v>5</v>
      </c>
      <c r="T36" s="40">
        <v>2</v>
      </c>
      <c r="U36" s="40">
        <v>5</v>
      </c>
      <c r="V36" s="40">
        <v>5</v>
      </c>
      <c r="W36" s="40">
        <v>5</v>
      </c>
      <c r="X36" s="40">
        <v>5</v>
      </c>
      <c r="Y36" s="40">
        <v>5</v>
      </c>
      <c r="Z36" s="40">
        <f t="shared" si="1"/>
        <v>4.666666666666667</v>
      </c>
      <c r="AA36" s="41"/>
      <c r="AB36" s="41">
        <v>1</v>
      </c>
      <c r="AC36" s="41">
        <v>1</v>
      </c>
      <c r="AD36" s="41">
        <v>1</v>
      </c>
      <c r="AE36" s="41">
        <v>1</v>
      </c>
      <c r="AF36" s="41">
        <v>1</v>
      </c>
      <c r="AG36" s="41">
        <v>1</v>
      </c>
      <c r="AH36" s="41">
        <v>1</v>
      </c>
      <c r="AI36" s="41">
        <v>1</v>
      </c>
      <c r="AJ36" s="41">
        <f t="shared" si="2"/>
        <v>1</v>
      </c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>
        <v>1</v>
      </c>
      <c r="AW36" s="42">
        <v>5</v>
      </c>
      <c r="AX36" s="42">
        <v>5</v>
      </c>
      <c r="AY36" s="42"/>
      <c r="AZ36" s="42"/>
      <c r="BA36" s="42">
        <f t="shared" si="3"/>
        <v>5</v>
      </c>
      <c r="BB36" s="43">
        <v>5</v>
      </c>
      <c r="BC36" s="43">
        <v>5</v>
      </c>
      <c r="BD36" s="44">
        <v>5</v>
      </c>
      <c r="BE36" s="44"/>
      <c r="BF36" s="45">
        <v>5</v>
      </c>
      <c r="BG36" s="45">
        <v>5</v>
      </c>
      <c r="BH36" s="45">
        <v>5</v>
      </c>
      <c r="BI36" s="45">
        <f t="shared" si="0"/>
        <v>5</v>
      </c>
    </row>
    <row r="37" spans="1:61" ht="16.5" customHeight="1">
      <c r="A37" s="48">
        <v>36</v>
      </c>
      <c r="B37" s="49" t="b">
        <v>0</v>
      </c>
      <c r="C37" s="37" t="s">
        <v>60</v>
      </c>
      <c r="D37" s="37" t="s">
        <v>76</v>
      </c>
      <c r="E37" s="38" t="s">
        <v>72</v>
      </c>
      <c r="F37" s="38" t="s">
        <v>78</v>
      </c>
      <c r="G37" s="38" t="s">
        <v>78</v>
      </c>
      <c r="H37" s="38"/>
      <c r="I37" s="39" t="s">
        <v>65</v>
      </c>
      <c r="J37" s="39" t="s">
        <v>65</v>
      </c>
      <c r="K37" s="39"/>
      <c r="L37" s="39">
        <v>2.5</v>
      </c>
      <c r="M37" s="39"/>
      <c r="N37" s="39"/>
      <c r="O37" s="39" t="s">
        <v>70</v>
      </c>
      <c r="P37" s="39"/>
      <c r="Q37" s="40">
        <v>5</v>
      </c>
      <c r="R37" s="40">
        <v>5</v>
      </c>
      <c r="S37" s="40">
        <v>5</v>
      </c>
      <c r="T37" s="40">
        <v>5</v>
      </c>
      <c r="U37" s="40">
        <v>5</v>
      </c>
      <c r="V37" s="40">
        <v>5</v>
      </c>
      <c r="W37" s="40">
        <v>5</v>
      </c>
      <c r="X37" s="40">
        <v>5</v>
      </c>
      <c r="Y37" s="40">
        <v>5</v>
      </c>
      <c r="Z37" s="40">
        <f t="shared" si="1"/>
        <v>5</v>
      </c>
      <c r="AA37" s="41">
        <v>2</v>
      </c>
      <c r="AB37" s="41">
        <v>1</v>
      </c>
      <c r="AC37" s="41">
        <v>5</v>
      </c>
      <c r="AD37" s="41">
        <v>5</v>
      </c>
      <c r="AE37" s="41">
        <v>5</v>
      </c>
      <c r="AF37" s="41">
        <v>5</v>
      </c>
      <c r="AG37" s="41">
        <v>5</v>
      </c>
      <c r="AH37" s="41">
        <v>5</v>
      </c>
      <c r="AI37" s="41">
        <v>5</v>
      </c>
      <c r="AJ37" s="41">
        <f t="shared" si="2"/>
        <v>4.2222222222222223</v>
      </c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>
        <v>5</v>
      </c>
      <c r="AW37" s="42">
        <v>5</v>
      </c>
      <c r="AX37" s="42">
        <v>5</v>
      </c>
      <c r="AY37" s="42">
        <v>5</v>
      </c>
      <c r="AZ37" s="42"/>
      <c r="BA37" s="42">
        <f t="shared" si="3"/>
        <v>5</v>
      </c>
      <c r="BB37" s="43">
        <v>5</v>
      </c>
      <c r="BC37" s="43">
        <v>5</v>
      </c>
      <c r="BD37" s="44">
        <v>5</v>
      </c>
      <c r="BE37" s="44"/>
      <c r="BF37" s="45">
        <v>5</v>
      </c>
      <c r="BG37" s="45">
        <v>5</v>
      </c>
      <c r="BH37" s="45">
        <v>5</v>
      </c>
      <c r="BI37" s="45">
        <f t="shared" si="0"/>
        <v>5</v>
      </c>
    </row>
    <row r="38" spans="1:61" ht="16.5" customHeight="1">
      <c r="A38" s="48">
        <v>37</v>
      </c>
      <c r="B38" s="49" t="b">
        <v>0</v>
      </c>
      <c r="C38" s="37" t="s">
        <v>114</v>
      </c>
      <c r="D38" s="37" t="s">
        <v>115</v>
      </c>
      <c r="E38" s="38" t="s">
        <v>72</v>
      </c>
      <c r="F38" s="38" t="s">
        <v>74</v>
      </c>
      <c r="G38" s="38"/>
      <c r="H38" s="38"/>
      <c r="I38" s="39" t="s">
        <v>65</v>
      </c>
      <c r="J38" s="39" t="s">
        <v>65</v>
      </c>
      <c r="K38" s="39" t="s">
        <v>65</v>
      </c>
      <c r="L38" s="39" t="s">
        <v>92</v>
      </c>
      <c r="M38" s="39" t="s">
        <v>70</v>
      </c>
      <c r="N38" s="39"/>
      <c r="O38" s="39"/>
      <c r="P38" s="39"/>
      <c r="Q38" s="40">
        <v>5</v>
      </c>
      <c r="R38" s="40">
        <v>5</v>
      </c>
      <c r="S38" s="40">
        <v>5</v>
      </c>
      <c r="T38" s="40">
        <v>5</v>
      </c>
      <c r="U38" s="40">
        <v>5</v>
      </c>
      <c r="V38" s="40">
        <v>5</v>
      </c>
      <c r="W38" s="40">
        <v>5</v>
      </c>
      <c r="X38" s="40">
        <v>5</v>
      </c>
      <c r="Y38" s="40">
        <v>5</v>
      </c>
      <c r="Z38" s="40">
        <f t="shared" si="1"/>
        <v>5</v>
      </c>
      <c r="AA38" s="41">
        <v>3</v>
      </c>
      <c r="AB38" s="41">
        <v>1</v>
      </c>
      <c r="AC38" s="41">
        <v>1</v>
      </c>
      <c r="AD38" s="41">
        <v>1</v>
      </c>
      <c r="AE38" s="41">
        <v>1</v>
      </c>
      <c r="AF38" s="41">
        <v>1</v>
      </c>
      <c r="AG38" s="41">
        <v>1</v>
      </c>
      <c r="AH38" s="41">
        <v>1</v>
      </c>
      <c r="AI38" s="41">
        <v>1</v>
      </c>
      <c r="AJ38" s="41">
        <f t="shared" si="2"/>
        <v>1.2222222222222223</v>
      </c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2">
        <v>5</v>
      </c>
      <c r="AX38" s="42">
        <v>5</v>
      </c>
      <c r="AY38" s="42"/>
      <c r="AZ38" s="42"/>
      <c r="BA38" s="42">
        <f t="shared" si="3"/>
        <v>5</v>
      </c>
      <c r="BB38" s="43">
        <v>5</v>
      </c>
      <c r="BC38" s="43">
        <v>5</v>
      </c>
      <c r="BD38" s="44">
        <v>5</v>
      </c>
      <c r="BE38" s="44"/>
      <c r="BF38" s="45">
        <v>5</v>
      </c>
      <c r="BG38" s="45">
        <v>5</v>
      </c>
      <c r="BH38" s="45">
        <v>5</v>
      </c>
      <c r="BI38" s="45">
        <f t="shared" si="0"/>
        <v>5</v>
      </c>
    </row>
    <row r="39" spans="1:61" ht="16.5" customHeight="1">
      <c r="A39" s="48">
        <v>38</v>
      </c>
      <c r="B39" s="49" t="b">
        <v>0</v>
      </c>
      <c r="C39" s="37" t="s">
        <v>60</v>
      </c>
      <c r="D39" s="47" t="s">
        <v>118</v>
      </c>
      <c r="E39" s="38" t="s">
        <v>72</v>
      </c>
      <c r="F39" s="38" t="s">
        <v>63</v>
      </c>
      <c r="G39" s="38" t="s">
        <v>78</v>
      </c>
      <c r="H39" s="38"/>
      <c r="I39" s="46" t="s">
        <v>69</v>
      </c>
      <c r="J39" s="39" t="s">
        <v>69</v>
      </c>
      <c r="K39" s="39"/>
      <c r="L39" s="39">
        <v>2.5</v>
      </c>
      <c r="M39" s="39"/>
      <c r="N39" s="39"/>
      <c r="O39" s="39" t="s">
        <v>70</v>
      </c>
      <c r="P39" s="39"/>
      <c r="Q39" s="40">
        <v>5</v>
      </c>
      <c r="R39" s="40">
        <v>5</v>
      </c>
      <c r="S39" s="40">
        <v>5</v>
      </c>
      <c r="T39" s="40">
        <v>5</v>
      </c>
      <c r="U39" s="40">
        <v>5</v>
      </c>
      <c r="V39" s="40">
        <v>5</v>
      </c>
      <c r="W39" s="40">
        <v>5</v>
      </c>
      <c r="X39" s="40">
        <v>5</v>
      </c>
      <c r="Y39" s="40">
        <v>5</v>
      </c>
      <c r="Z39" s="40">
        <f t="shared" si="1"/>
        <v>5</v>
      </c>
      <c r="AA39" s="41">
        <v>1</v>
      </c>
      <c r="AB39" s="41">
        <v>1</v>
      </c>
      <c r="AC39" s="41">
        <v>1</v>
      </c>
      <c r="AD39" s="41">
        <v>1</v>
      </c>
      <c r="AE39" s="41">
        <v>1</v>
      </c>
      <c r="AF39" s="41">
        <v>1</v>
      </c>
      <c r="AG39" s="41">
        <v>1</v>
      </c>
      <c r="AH39" s="41">
        <v>1</v>
      </c>
      <c r="AI39" s="41">
        <v>1</v>
      </c>
      <c r="AJ39" s="41">
        <f t="shared" si="2"/>
        <v>1</v>
      </c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>
        <v>1</v>
      </c>
      <c r="AW39" s="42">
        <v>5</v>
      </c>
      <c r="AX39" s="42">
        <v>5</v>
      </c>
      <c r="AY39" s="42">
        <v>5</v>
      </c>
      <c r="AZ39" s="42"/>
      <c r="BA39" s="42">
        <f t="shared" si="3"/>
        <v>5</v>
      </c>
      <c r="BB39" s="43">
        <v>5</v>
      </c>
      <c r="BC39" s="43"/>
      <c r="BD39" s="44"/>
      <c r="BE39" s="44"/>
      <c r="BF39" s="45">
        <v>5</v>
      </c>
      <c r="BG39" s="45">
        <v>5</v>
      </c>
      <c r="BH39" s="45">
        <v>5</v>
      </c>
      <c r="BI39" s="45">
        <f t="shared" si="0"/>
        <v>5</v>
      </c>
    </row>
    <row r="40" spans="1:61" ht="16.5" customHeight="1">
      <c r="A40" s="50">
        <v>39</v>
      </c>
      <c r="B40" s="51" t="b">
        <v>1</v>
      </c>
      <c r="C40" s="37" t="s">
        <v>119</v>
      </c>
      <c r="D40" s="47" t="s">
        <v>120</v>
      </c>
      <c r="E40" s="38" t="s">
        <v>75</v>
      </c>
      <c r="F40" s="38" t="s">
        <v>63</v>
      </c>
      <c r="G40" s="38" t="s">
        <v>78</v>
      </c>
      <c r="H40" s="38"/>
      <c r="I40" s="39" t="s">
        <v>65</v>
      </c>
      <c r="J40" s="39" t="s">
        <v>83</v>
      </c>
      <c r="K40" s="39" t="s">
        <v>65</v>
      </c>
      <c r="L40" s="39">
        <v>3</v>
      </c>
      <c r="M40" s="39"/>
      <c r="N40" s="39"/>
      <c r="O40" s="39" t="s">
        <v>70</v>
      </c>
      <c r="P40" s="39"/>
      <c r="Q40" s="40">
        <v>4</v>
      </c>
      <c r="R40" s="40">
        <v>2</v>
      </c>
      <c r="S40" s="40">
        <v>2</v>
      </c>
      <c r="T40" s="40">
        <v>2</v>
      </c>
      <c r="U40" s="40">
        <v>2</v>
      </c>
      <c r="V40" s="40">
        <v>2</v>
      </c>
      <c r="W40" s="40">
        <v>2</v>
      </c>
      <c r="X40" s="40">
        <v>2</v>
      </c>
      <c r="Y40" s="40">
        <v>2</v>
      </c>
      <c r="Z40" s="40">
        <f t="shared" si="1"/>
        <v>2.2222222222222223</v>
      </c>
      <c r="AA40" s="41">
        <v>5</v>
      </c>
      <c r="AB40" s="41">
        <v>5</v>
      </c>
      <c r="AC40" s="41">
        <v>5</v>
      </c>
      <c r="AD40" s="41">
        <v>5</v>
      </c>
      <c r="AE40" s="41">
        <v>5</v>
      </c>
      <c r="AF40" s="41">
        <v>5</v>
      </c>
      <c r="AG40" s="41">
        <v>5</v>
      </c>
      <c r="AH40" s="41">
        <v>5</v>
      </c>
      <c r="AI40" s="41">
        <v>5</v>
      </c>
      <c r="AJ40" s="41">
        <f t="shared" si="2"/>
        <v>5</v>
      </c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>
        <v>3</v>
      </c>
      <c r="AW40" s="42">
        <v>5</v>
      </c>
      <c r="AX40" s="42">
        <v>5</v>
      </c>
      <c r="AY40" s="42">
        <v>5</v>
      </c>
      <c r="AZ40" s="42"/>
      <c r="BA40" s="42">
        <f t="shared" si="3"/>
        <v>5</v>
      </c>
      <c r="BB40" s="43">
        <v>5</v>
      </c>
      <c r="BC40" s="43"/>
      <c r="BD40" s="44"/>
      <c r="BE40" s="44"/>
      <c r="BF40" s="45">
        <v>5</v>
      </c>
      <c r="BG40" s="45">
        <v>5</v>
      </c>
      <c r="BH40" s="45">
        <v>5</v>
      </c>
      <c r="BI40" s="45">
        <f t="shared" si="0"/>
        <v>5</v>
      </c>
    </row>
    <row r="41" spans="1:61" ht="16.5" customHeight="1">
      <c r="A41" s="50">
        <v>40</v>
      </c>
      <c r="B41" s="51" t="b">
        <v>1</v>
      </c>
      <c r="C41" s="37" t="s">
        <v>119</v>
      </c>
      <c r="D41" s="47" t="s">
        <v>120</v>
      </c>
      <c r="E41" s="38" t="s">
        <v>75</v>
      </c>
      <c r="F41" s="38" t="s">
        <v>63</v>
      </c>
      <c r="G41" s="38" t="s">
        <v>78</v>
      </c>
      <c r="H41" s="38"/>
      <c r="I41" s="39" t="s">
        <v>65</v>
      </c>
      <c r="J41" s="39" t="s">
        <v>83</v>
      </c>
      <c r="K41" s="39" t="s">
        <v>65</v>
      </c>
      <c r="L41" s="39">
        <v>3</v>
      </c>
      <c r="M41" s="39"/>
      <c r="N41" s="39"/>
      <c r="O41" s="39" t="s">
        <v>70</v>
      </c>
      <c r="P41" s="39"/>
      <c r="Q41" s="40">
        <v>2</v>
      </c>
      <c r="R41" s="40">
        <v>2</v>
      </c>
      <c r="S41" s="40">
        <v>2</v>
      </c>
      <c r="T41" s="40">
        <v>2</v>
      </c>
      <c r="U41" s="40">
        <v>2</v>
      </c>
      <c r="V41" s="40">
        <v>2</v>
      </c>
      <c r="W41" s="40">
        <v>2</v>
      </c>
      <c r="X41" s="40">
        <v>2</v>
      </c>
      <c r="Y41" s="40">
        <v>2</v>
      </c>
      <c r="Z41" s="40">
        <f t="shared" si="1"/>
        <v>2</v>
      </c>
      <c r="AA41" s="41">
        <v>4</v>
      </c>
      <c r="AB41" s="41">
        <v>5</v>
      </c>
      <c r="AC41" s="41">
        <v>5</v>
      </c>
      <c r="AD41" s="41">
        <v>5</v>
      </c>
      <c r="AE41" s="41">
        <v>5</v>
      </c>
      <c r="AF41" s="41">
        <v>5</v>
      </c>
      <c r="AG41" s="41">
        <v>2</v>
      </c>
      <c r="AH41" s="41">
        <v>2</v>
      </c>
      <c r="AI41" s="41">
        <v>5</v>
      </c>
      <c r="AJ41" s="41">
        <f t="shared" si="2"/>
        <v>4.2222222222222223</v>
      </c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>
        <v>5</v>
      </c>
      <c r="AW41" s="42">
        <v>5</v>
      </c>
      <c r="AX41" s="42">
        <v>5</v>
      </c>
      <c r="AY41" s="42">
        <v>5</v>
      </c>
      <c r="AZ41" s="42"/>
      <c r="BA41" s="42">
        <f t="shared" si="3"/>
        <v>5</v>
      </c>
      <c r="BB41" s="43">
        <v>5</v>
      </c>
      <c r="BC41" s="43"/>
      <c r="BD41" s="44"/>
      <c r="BE41" s="44"/>
      <c r="BF41" s="45">
        <v>5</v>
      </c>
      <c r="BG41" s="45">
        <v>5</v>
      </c>
      <c r="BH41" s="45">
        <v>5</v>
      </c>
      <c r="BI41" s="45">
        <f t="shared" si="0"/>
        <v>5</v>
      </c>
    </row>
    <row r="42" spans="1:61" ht="16.5" customHeight="1">
      <c r="A42" s="50">
        <v>41</v>
      </c>
      <c r="B42" s="51" t="b">
        <v>1</v>
      </c>
      <c r="C42" s="37" t="s">
        <v>119</v>
      </c>
      <c r="D42" s="47" t="s">
        <v>120</v>
      </c>
      <c r="E42" s="38" t="s">
        <v>75</v>
      </c>
      <c r="F42" s="38" t="s">
        <v>105</v>
      </c>
      <c r="G42" s="38" t="s">
        <v>78</v>
      </c>
      <c r="H42" s="38"/>
      <c r="I42" s="39" t="s">
        <v>65</v>
      </c>
      <c r="J42" s="39" t="s">
        <v>83</v>
      </c>
      <c r="K42" s="39" t="s">
        <v>65</v>
      </c>
      <c r="L42" s="39">
        <v>3</v>
      </c>
      <c r="M42" s="39"/>
      <c r="N42" s="39"/>
      <c r="O42" s="39" t="s">
        <v>70</v>
      </c>
      <c r="P42" s="39"/>
      <c r="Q42" s="40">
        <v>3</v>
      </c>
      <c r="R42" s="40">
        <v>3</v>
      </c>
      <c r="S42" s="40">
        <v>3</v>
      </c>
      <c r="T42" s="40">
        <v>3</v>
      </c>
      <c r="U42" s="40">
        <v>3</v>
      </c>
      <c r="V42" s="40">
        <v>3</v>
      </c>
      <c r="W42" s="40">
        <v>3</v>
      </c>
      <c r="X42" s="40">
        <v>3</v>
      </c>
      <c r="Y42" s="40">
        <v>3</v>
      </c>
      <c r="Z42" s="40">
        <f t="shared" si="1"/>
        <v>3</v>
      </c>
      <c r="AA42" s="41">
        <v>5</v>
      </c>
      <c r="AB42" s="41">
        <v>4</v>
      </c>
      <c r="AC42" s="41">
        <v>5</v>
      </c>
      <c r="AD42" s="41">
        <v>5</v>
      </c>
      <c r="AE42" s="41">
        <v>5</v>
      </c>
      <c r="AF42" s="41">
        <v>5</v>
      </c>
      <c r="AG42" s="41">
        <v>5</v>
      </c>
      <c r="AH42" s="41">
        <v>5</v>
      </c>
      <c r="AI42" s="41">
        <v>5</v>
      </c>
      <c r="AJ42" s="41">
        <f t="shared" si="2"/>
        <v>4.8888888888888893</v>
      </c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>
        <v>2</v>
      </c>
      <c r="AW42" s="42">
        <v>5</v>
      </c>
      <c r="AX42" s="42">
        <v>5</v>
      </c>
      <c r="AY42" s="42">
        <v>5</v>
      </c>
      <c r="AZ42" s="42"/>
      <c r="BA42" s="42">
        <f t="shared" si="3"/>
        <v>5</v>
      </c>
      <c r="BB42" s="43">
        <v>5</v>
      </c>
      <c r="BC42" s="43"/>
      <c r="BD42" s="44"/>
      <c r="BE42" s="44"/>
      <c r="BF42" s="45">
        <v>5</v>
      </c>
      <c r="BG42" s="45">
        <v>5</v>
      </c>
      <c r="BH42" s="45">
        <v>5</v>
      </c>
      <c r="BI42" s="45">
        <f t="shared" si="0"/>
        <v>5</v>
      </c>
    </row>
    <row r="43" spans="1:61" ht="16.5" customHeight="1">
      <c r="A43" s="50">
        <v>42</v>
      </c>
      <c r="B43" s="51" t="b">
        <v>1</v>
      </c>
      <c r="C43" s="37" t="s">
        <v>119</v>
      </c>
      <c r="D43" s="47" t="s">
        <v>120</v>
      </c>
      <c r="E43" s="38" t="s">
        <v>73</v>
      </c>
      <c r="F43" s="38" t="s">
        <v>113</v>
      </c>
      <c r="G43" s="38" t="s">
        <v>78</v>
      </c>
      <c r="H43" s="38"/>
      <c r="I43" s="39" t="s">
        <v>65</v>
      </c>
      <c r="J43" s="39" t="s">
        <v>83</v>
      </c>
      <c r="K43" s="39" t="s">
        <v>65</v>
      </c>
      <c r="L43" s="39">
        <v>3</v>
      </c>
      <c r="M43" s="39"/>
      <c r="N43" s="39"/>
      <c r="O43" s="39" t="s">
        <v>70</v>
      </c>
      <c r="P43" s="39"/>
      <c r="Q43" s="40"/>
      <c r="R43" s="40">
        <v>3</v>
      </c>
      <c r="S43" s="40">
        <v>2</v>
      </c>
      <c r="T43" s="40">
        <v>2</v>
      </c>
      <c r="U43" s="40">
        <v>1</v>
      </c>
      <c r="V43" s="40">
        <v>1</v>
      </c>
      <c r="W43" s="40">
        <v>1</v>
      </c>
      <c r="X43" s="40">
        <v>1</v>
      </c>
      <c r="Y43" s="40">
        <v>1</v>
      </c>
      <c r="Z43" s="40">
        <f t="shared" si="1"/>
        <v>1.5</v>
      </c>
      <c r="AA43" s="41"/>
      <c r="AB43" s="41">
        <v>4</v>
      </c>
      <c r="AC43" s="41">
        <v>5</v>
      </c>
      <c r="AD43" s="41">
        <v>5</v>
      </c>
      <c r="AE43" s="41">
        <v>5</v>
      </c>
      <c r="AF43" s="41">
        <v>5</v>
      </c>
      <c r="AG43" s="41">
        <v>5</v>
      </c>
      <c r="AH43" s="41">
        <v>5</v>
      </c>
      <c r="AI43" s="41">
        <v>3</v>
      </c>
      <c r="AJ43" s="41">
        <f t="shared" si="2"/>
        <v>4.625</v>
      </c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>
        <v>4</v>
      </c>
      <c r="AW43" s="42">
        <v>5</v>
      </c>
      <c r="AX43" s="42">
        <v>5</v>
      </c>
      <c r="AY43" s="42">
        <v>5</v>
      </c>
      <c r="AZ43" s="42"/>
      <c r="BA43" s="42">
        <f t="shared" si="3"/>
        <v>5</v>
      </c>
      <c r="BB43" s="43">
        <v>5</v>
      </c>
      <c r="BC43" s="43"/>
      <c r="BD43" s="44"/>
      <c r="BE43" s="44"/>
      <c r="BF43" s="45">
        <v>5</v>
      </c>
      <c r="BG43" s="45">
        <v>5</v>
      </c>
      <c r="BH43" s="45">
        <v>5</v>
      </c>
      <c r="BI43" s="45">
        <f t="shared" si="0"/>
        <v>5</v>
      </c>
    </row>
    <row r="44" spans="1:61" ht="16.5" customHeight="1">
      <c r="A44" s="50">
        <v>43</v>
      </c>
      <c r="B44" s="51" t="b">
        <v>1</v>
      </c>
      <c r="C44" s="37" t="s">
        <v>99</v>
      </c>
      <c r="D44" s="37" t="s">
        <v>98</v>
      </c>
      <c r="E44" s="38" t="s">
        <v>72</v>
      </c>
      <c r="F44" s="38" t="s">
        <v>78</v>
      </c>
      <c r="G44" s="38" t="s">
        <v>64</v>
      </c>
      <c r="H44" s="38"/>
      <c r="I44" s="39" t="s">
        <v>65</v>
      </c>
      <c r="J44" s="39" t="s">
        <v>87</v>
      </c>
      <c r="K44" s="39" t="s">
        <v>65</v>
      </c>
      <c r="L44" s="39">
        <v>3</v>
      </c>
      <c r="M44" s="39"/>
      <c r="N44" s="39"/>
      <c r="O44" s="39"/>
      <c r="P44" s="39" t="s">
        <v>70</v>
      </c>
      <c r="Q44" s="40">
        <v>5</v>
      </c>
      <c r="R44" s="40">
        <v>4</v>
      </c>
      <c r="S44" s="40">
        <v>4</v>
      </c>
      <c r="T44" s="40">
        <v>5</v>
      </c>
      <c r="U44" s="40">
        <v>4</v>
      </c>
      <c r="V44" s="40">
        <v>4</v>
      </c>
      <c r="W44" s="40">
        <v>3</v>
      </c>
      <c r="X44" s="40">
        <v>3</v>
      </c>
      <c r="Y44" s="40">
        <v>3</v>
      </c>
      <c r="Z44" s="40">
        <f t="shared" si="1"/>
        <v>3.8888888888888888</v>
      </c>
      <c r="AA44" s="41">
        <v>4</v>
      </c>
      <c r="AB44" s="41">
        <v>3</v>
      </c>
      <c r="AC44" s="41">
        <v>4</v>
      </c>
      <c r="AD44" s="41">
        <v>5</v>
      </c>
      <c r="AE44" s="41">
        <v>5</v>
      </c>
      <c r="AF44" s="41">
        <v>3</v>
      </c>
      <c r="AG44" s="41">
        <v>4</v>
      </c>
      <c r="AH44" s="41">
        <v>4</v>
      </c>
      <c r="AI44" s="41">
        <v>3</v>
      </c>
      <c r="AJ44" s="41">
        <f t="shared" si="2"/>
        <v>3.8888888888888888</v>
      </c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>
        <v>3</v>
      </c>
      <c r="AW44" s="42">
        <v>4</v>
      </c>
      <c r="AX44" s="42">
        <v>5</v>
      </c>
      <c r="AY44" s="42">
        <v>5</v>
      </c>
      <c r="AZ44" s="42"/>
      <c r="BA44" s="42">
        <f t="shared" si="3"/>
        <v>4.666666666666667</v>
      </c>
      <c r="BB44" s="43">
        <v>3</v>
      </c>
      <c r="BC44" s="43"/>
      <c r="BD44" s="44"/>
      <c r="BE44" s="44"/>
      <c r="BF44" s="45">
        <v>4</v>
      </c>
      <c r="BG44" s="45">
        <v>5</v>
      </c>
      <c r="BH44" s="45">
        <v>5</v>
      </c>
      <c r="BI44" s="45">
        <f t="shared" si="0"/>
        <v>4.25</v>
      </c>
    </row>
    <row r="45" spans="1:61" ht="16.5" customHeight="1">
      <c r="A45" s="50">
        <v>44</v>
      </c>
      <c r="B45" s="51" t="b">
        <v>1</v>
      </c>
      <c r="C45" s="37" t="s">
        <v>99</v>
      </c>
      <c r="D45" s="37" t="s">
        <v>98</v>
      </c>
      <c r="E45" s="38" t="s">
        <v>75</v>
      </c>
      <c r="F45" s="38" t="s">
        <v>63</v>
      </c>
      <c r="G45" s="38" t="s">
        <v>78</v>
      </c>
      <c r="H45" s="38"/>
      <c r="I45" s="39" t="s">
        <v>65</v>
      </c>
      <c r="J45" s="39" t="s">
        <v>87</v>
      </c>
      <c r="K45" s="39" t="s">
        <v>65</v>
      </c>
      <c r="L45" s="39">
        <v>3</v>
      </c>
      <c r="M45" s="39"/>
      <c r="N45" s="39"/>
      <c r="O45" s="39" t="s">
        <v>70</v>
      </c>
      <c r="P45" s="39" t="s">
        <v>70</v>
      </c>
      <c r="Q45" s="40">
        <v>3</v>
      </c>
      <c r="R45" s="40">
        <v>3</v>
      </c>
      <c r="S45" s="40">
        <v>3</v>
      </c>
      <c r="T45" s="40">
        <v>3</v>
      </c>
      <c r="U45" s="40">
        <v>3</v>
      </c>
      <c r="V45" s="40">
        <v>3</v>
      </c>
      <c r="W45" s="40">
        <v>3</v>
      </c>
      <c r="X45" s="40">
        <v>3</v>
      </c>
      <c r="Y45" s="40">
        <v>1</v>
      </c>
      <c r="Z45" s="40">
        <f t="shared" si="1"/>
        <v>2.7777777777777777</v>
      </c>
      <c r="AA45" s="41">
        <v>2</v>
      </c>
      <c r="AB45" s="41">
        <v>2</v>
      </c>
      <c r="AC45" s="41">
        <v>3</v>
      </c>
      <c r="AD45" s="41">
        <v>4</v>
      </c>
      <c r="AE45" s="41">
        <v>3</v>
      </c>
      <c r="AF45" s="41">
        <v>3</v>
      </c>
      <c r="AG45" s="41">
        <v>4</v>
      </c>
      <c r="AH45" s="41">
        <v>4</v>
      </c>
      <c r="AI45" s="41">
        <v>2</v>
      </c>
      <c r="AJ45" s="41">
        <f t="shared" si="2"/>
        <v>3</v>
      </c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>
        <v>3</v>
      </c>
      <c r="AW45" s="42">
        <v>5</v>
      </c>
      <c r="AX45" s="42">
        <v>5</v>
      </c>
      <c r="AY45" s="42">
        <v>5</v>
      </c>
      <c r="AZ45" s="42"/>
      <c r="BA45" s="42">
        <f t="shared" si="3"/>
        <v>5</v>
      </c>
      <c r="BB45" s="43">
        <v>3</v>
      </c>
      <c r="BC45" s="43"/>
      <c r="BD45" s="44"/>
      <c r="BE45" s="44"/>
      <c r="BF45" s="45">
        <v>5</v>
      </c>
      <c r="BG45" s="45"/>
      <c r="BH45" s="45">
        <v>5</v>
      </c>
      <c r="BI45" s="45">
        <f t="shared" si="0"/>
        <v>4.333333333333333</v>
      </c>
    </row>
    <row r="46" spans="1:61" ht="16.5" customHeight="1">
      <c r="A46" s="50">
        <v>45</v>
      </c>
      <c r="B46" s="51" t="b">
        <v>1</v>
      </c>
      <c r="C46" s="37" t="s">
        <v>99</v>
      </c>
      <c r="D46" s="37" t="s">
        <v>98</v>
      </c>
      <c r="E46" s="38" t="s">
        <v>121</v>
      </c>
      <c r="F46" s="38" t="s">
        <v>68</v>
      </c>
      <c r="G46" s="38" t="s">
        <v>64</v>
      </c>
      <c r="H46" s="38"/>
      <c r="I46" s="39" t="s">
        <v>65</v>
      </c>
      <c r="J46" s="39" t="s">
        <v>87</v>
      </c>
      <c r="K46" s="39" t="s">
        <v>69</v>
      </c>
      <c r="L46" s="39">
        <v>2.5</v>
      </c>
      <c r="M46" s="39"/>
      <c r="N46" s="39" t="s">
        <v>70</v>
      </c>
      <c r="O46" s="39" t="s">
        <v>70</v>
      </c>
      <c r="P46" s="39"/>
      <c r="Q46" s="40">
        <v>4</v>
      </c>
      <c r="R46" s="40">
        <v>4</v>
      </c>
      <c r="S46" s="40">
        <v>4</v>
      </c>
      <c r="T46" s="40">
        <v>4</v>
      </c>
      <c r="U46" s="40">
        <v>4</v>
      </c>
      <c r="V46" s="40">
        <v>4</v>
      </c>
      <c r="W46" s="40">
        <v>4</v>
      </c>
      <c r="X46" s="40">
        <v>3</v>
      </c>
      <c r="Y46" s="40">
        <v>4</v>
      </c>
      <c r="Z46" s="40">
        <f t="shared" si="1"/>
        <v>3.8888888888888888</v>
      </c>
      <c r="AA46" s="41">
        <v>5</v>
      </c>
      <c r="AB46" s="41">
        <v>5</v>
      </c>
      <c r="AC46" s="41">
        <v>5</v>
      </c>
      <c r="AD46" s="41">
        <v>5</v>
      </c>
      <c r="AE46" s="41">
        <v>5</v>
      </c>
      <c r="AF46" s="41">
        <v>5</v>
      </c>
      <c r="AG46" s="41">
        <v>5</v>
      </c>
      <c r="AH46" s="41">
        <v>5</v>
      </c>
      <c r="AI46" s="41">
        <v>5</v>
      </c>
      <c r="AJ46" s="41">
        <f t="shared" si="2"/>
        <v>5</v>
      </c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2">
        <v>5</v>
      </c>
      <c r="AX46" s="42">
        <v>5</v>
      </c>
      <c r="AY46" s="42">
        <v>5</v>
      </c>
      <c r="AZ46" s="42"/>
      <c r="BA46" s="42">
        <f t="shared" si="3"/>
        <v>5</v>
      </c>
      <c r="BB46" s="43">
        <v>4</v>
      </c>
      <c r="BC46" s="43"/>
      <c r="BD46" s="44"/>
      <c r="BE46" s="44"/>
      <c r="BF46" s="45">
        <v>5</v>
      </c>
      <c r="BG46" s="45">
        <v>5</v>
      </c>
      <c r="BH46" s="45">
        <v>5</v>
      </c>
      <c r="BI46" s="45">
        <f t="shared" si="0"/>
        <v>4.75</v>
      </c>
    </row>
    <row r="47" spans="1:61" ht="16.5" customHeight="1">
      <c r="A47" s="50">
        <v>46</v>
      </c>
      <c r="B47" s="51" t="b">
        <v>1</v>
      </c>
      <c r="C47" s="37" t="s">
        <v>122</v>
      </c>
      <c r="D47" s="37" t="s">
        <v>123</v>
      </c>
      <c r="E47" s="38" t="s">
        <v>72</v>
      </c>
      <c r="F47" s="38" t="s">
        <v>78</v>
      </c>
      <c r="G47" s="38" t="s">
        <v>64</v>
      </c>
      <c r="H47" s="38">
        <v>2021</v>
      </c>
      <c r="I47" s="39" t="s">
        <v>65</v>
      </c>
      <c r="J47" s="39" t="s">
        <v>83</v>
      </c>
      <c r="K47" s="39" t="s">
        <v>69</v>
      </c>
      <c r="L47" s="39">
        <v>2.5</v>
      </c>
      <c r="M47" s="39" t="s">
        <v>70</v>
      </c>
      <c r="N47" s="39"/>
      <c r="O47" s="39" t="s">
        <v>70</v>
      </c>
      <c r="P47" s="39"/>
      <c r="Q47" s="40">
        <v>4</v>
      </c>
      <c r="R47" s="40">
        <v>4</v>
      </c>
      <c r="S47" s="40">
        <v>4</v>
      </c>
      <c r="T47" s="40">
        <v>4</v>
      </c>
      <c r="U47" s="40">
        <v>4</v>
      </c>
      <c r="V47" s="40">
        <v>4</v>
      </c>
      <c r="W47" s="40">
        <v>4</v>
      </c>
      <c r="X47" s="40">
        <v>4</v>
      </c>
      <c r="Y47" s="40">
        <v>4</v>
      </c>
      <c r="Z47" s="40">
        <f t="shared" si="1"/>
        <v>4</v>
      </c>
      <c r="AA47" s="41">
        <v>5</v>
      </c>
      <c r="AB47" s="41">
        <v>5</v>
      </c>
      <c r="AC47" s="41">
        <v>5</v>
      </c>
      <c r="AD47" s="41">
        <v>5</v>
      </c>
      <c r="AE47" s="41">
        <v>5</v>
      </c>
      <c r="AF47" s="41">
        <v>5</v>
      </c>
      <c r="AG47" s="41">
        <v>5</v>
      </c>
      <c r="AH47" s="41">
        <v>5</v>
      </c>
      <c r="AI47" s="41">
        <v>5</v>
      </c>
      <c r="AJ47" s="41">
        <f t="shared" si="2"/>
        <v>5</v>
      </c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>
        <v>5</v>
      </c>
      <c r="AW47" s="42">
        <v>1</v>
      </c>
      <c r="AX47" s="42">
        <v>5</v>
      </c>
      <c r="AY47" s="42"/>
      <c r="AZ47" s="42"/>
      <c r="BA47" s="42">
        <f t="shared" si="3"/>
        <v>3</v>
      </c>
      <c r="BB47" s="43">
        <v>5</v>
      </c>
      <c r="BC47" s="43"/>
      <c r="BD47" s="44"/>
      <c r="BE47" s="44"/>
      <c r="BF47" s="45">
        <v>5</v>
      </c>
      <c r="BG47" s="45"/>
      <c r="BH47" s="45">
        <v>5</v>
      </c>
      <c r="BI47" s="45">
        <f t="shared" si="0"/>
        <v>5</v>
      </c>
    </row>
    <row r="48" spans="1:61" ht="16.5" customHeight="1">
      <c r="A48" s="50">
        <v>47</v>
      </c>
      <c r="B48" s="51" t="b">
        <v>0</v>
      </c>
      <c r="C48" s="37" t="s">
        <v>122</v>
      </c>
      <c r="D48" s="37" t="s">
        <v>124</v>
      </c>
      <c r="E48" s="38" t="s">
        <v>62</v>
      </c>
      <c r="F48" s="38" t="s">
        <v>78</v>
      </c>
      <c r="G48" s="38" t="s">
        <v>64</v>
      </c>
      <c r="H48" s="38">
        <v>2021</v>
      </c>
      <c r="I48" s="39" t="s">
        <v>65</v>
      </c>
      <c r="J48" s="39" t="s">
        <v>83</v>
      </c>
      <c r="K48" s="39" t="s">
        <v>65</v>
      </c>
      <c r="L48" s="39">
        <v>2.5</v>
      </c>
      <c r="M48" s="39" t="s">
        <v>70</v>
      </c>
      <c r="N48" s="39"/>
      <c r="O48" s="39" t="s">
        <v>70</v>
      </c>
      <c r="P48" s="39"/>
      <c r="Q48" s="40">
        <v>5</v>
      </c>
      <c r="R48" s="40">
        <v>4</v>
      </c>
      <c r="S48" s="40">
        <v>3</v>
      </c>
      <c r="T48" s="40">
        <v>3</v>
      </c>
      <c r="U48" s="40">
        <v>3</v>
      </c>
      <c r="V48" s="40">
        <v>5</v>
      </c>
      <c r="W48" s="40">
        <v>4</v>
      </c>
      <c r="X48" s="40">
        <v>4</v>
      </c>
      <c r="Y48" s="40">
        <v>3</v>
      </c>
      <c r="Z48" s="40">
        <f t="shared" si="1"/>
        <v>3.7777777777777777</v>
      </c>
      <c r="AA48" s="41">
        <v>4</v>
      </c>
      <c r="AB48" s="41">
        <v>3</v>
      </c>
      <c r="AC48" s="41">
        <v>1</v>
      </c>
      <c r="AD48" s="41">
        <v>3</v>
      </c>
      <c r="AE48" s="41">
        <v>3</v>
      </c>
      <c r="AF48" s="41">
        <v>3</v>
      </c>
      <c r="AG48" s="41">
        <v>4</v>
      </c>
      <c r="AH48" s="41">
        <v>4</v>
      </c>
      <c r="AI48" s="41">
        <v>0</v>
      </c>
      <c r="AJ48" s="41">
        <f t="shared" si="2"/>
        <v>2.7777777777777777</v>
      </c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>
        <v>3</v>
      </c>
      <c r="AW48" s="42">
        <v>5</v>
      </c>
      <c r="AX48" s="42">
        <v>5</v>
      </c>
      <c r="AY48" s="42"/>
      <c r="AZ48" s="42"/>
      <c r="BA48" s="42">
        <f t="shared" si="3"/>
        <v>5</v>
      </c>
      <c r="BB48" s="43">
        <v>3</v>
      </c>
      <c r="BC48" s="43">
        <v>3</v>
      </c>
      <c r="BD48" s="44"/>
      <c r="BE48" s="44"/>
      <c r="BF48" s="45">
        <v>5</v>
      </c>
      <c r="BG48" s="45"/>
      <c r="BH48" s="45">
        <v>5</v>
      </c>
      <c r="BI48" s="45">
        <f t="shared" si="0"/>
        <v>4</v>
      </c>
    </row>
    <row r="49" spans="1:61" ht="16.5" customHeight="1">
      <c r="A49" s="50">
        <v>48</v>
      </c>
      <c r="B49" s="51" t="b">
        <v>0</v>
      </c>
      <c r="C49" s="37" t="s">
        <v>122</v>
      </c>
      <c r="D49" s="37" t="s">
        <v>125</v>
      </c>
      <c r="E49" s="38" t="s">
        <v>86</v>
      </c>
      <c r="F49" s="38" t="s">
        <v>113</v>
      </c>
      <c r="G49" s="38" t="s">
        <v>78</v>
      </c>
      <c r="H49" s="38">
        <v>2022</v>
      </c>
      <c r="I49" s="46" t="s">
        <v>69</v>
      </c>
      <c r="J49" s="39" t="s">
        <v>69</v>
      </c>
      <c r="K49" s="39" t="s">
        <v>69</v>
      </c>
      <c r="L49" s="52" t="s">
        <v>92</v>
      </c>
      <c r="M49" s="39"/>
      <c r="N49" s="39" t="s">
        <v>70</v>
      </c>
      <c r="O49" s="39"/>
      <c r="P49" s="39"/>
      <c r="Q49" s="40">
        <v>5</v>
      </c>
      <c r="R49" s="40">
        <v>5</v>
      </c>
      <c r="S49" s="40">
        <v>5</v>
      </c>
      <c r="T49" s="40">
        <v>5</v>
      </c>
      <c r="U49" s="40">
        <v>4</v>
      </c>
      <c r="V49" s="40">
        <v>5</v>
      </c>
      <c r="W49" s="40">
        <v>5</v>
      </c>
      <c r="X49" s="40">
        <v>4</v>
      </c>
      <c r="Y49" s="40">
        <v>3</v>
      </c>
      <c r="Z49" s="40">
        <f t="shared" si="1"/>
        <v>4.5555555555555554</v>
      </c>
      <c r="AA49" s="41">
        <v>5</v>
      </c>
      <c r="AB49" s="41">
        <v>5</v>
      </c>
      <c r="AC49" s="41">
        <v>5</v>
      </c>
      <c r="AD49" s="41">
        <v>5</v>
      </c>
      <c r="AE49" s="41">
        <v>5</v>
      </c>
      <c r="AF49" s="41">
        <v>5</v>
      </c>
      <c r="AG49" s="41">
        <v>5</v>
      </c>
      <c r="AH49" s="41">
        <v>5</v>
      </c>
      <c r="AI49" s="41">
        <v>5</v>
      </c>
      <c r="AJ49" s="41">
        <f t="shared" si="2"/>
        <v>5</v>
      </c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2">
        <v>1</v>
      </c>
      <c r="AX49" s="42">
        <v>3</v>
      </c>
      <c r="AY49" s="42"/>
      <c r="AZ49" s="42"/>
      <c r="BA49" s="42">
        <f t="shared" si="3"/>
        <v>2</v>
      </c>
      <c r="BB49" s="43"/>
      <c r="BC49" s="43"/>
      <c r="BD49" s="44"/>
      <c r="BE49" s="44"/>
      <c r="BF49" s="45"/>
      <c r="BG49" s="45"/>
      <c r="BH49" s="45"/>
      <c r="BI49" s="45" t="e">
        <f t="shared" si="0"/>
        <v>#DIV/0!</v>
      </c>
    </row>
    <row r="50" spans="1:61" ht="16.5" customHeight="1">
      <c r="A50" s="50">
        <v>49</v>
      </c>
      <c r="B50" s="51" t="b">
        <v>1</v>
      </c>
      <c r="C50" s="37" t="s">
        <v>122</v>
      </c>
      <c r="D50" s="37" t="s">
        <v>98</v>
      </c>
      <c r="E50" s="38" t="s">
        <v>72</v>
      </c>
      <c r="F50" s="38" t="s">
        <v>63</v>
      </c>
      <c r="G50" s="38" t="s">
        <v>78</v>
      </c>
      <c r="H50" s="38"/>
      <c r="I50" s="46" t="s">
        <v>69</v>
      </c>
      <c r="J50" s="39" t="s">
        <v>87</v>
      </c>
      <c r="K50" s="39" t="s">
        <v>65</v>
      </c>
      <c r="L50" s="39" t="s">
        <v>92</v>
      </c>
      <c r="M50" s="39" t="s">
        <v>70</v>
      </c>
      <c r="N50" s="39"/>
      <c r="O50" s="39"/>
      <c r="P50" s="39" t="s">
        <v>70</v>
      </c>
      <c r="Q50" s="40">
        <v>4</v>
      </c>
      <c r="R50" s="40">
        <v>4</v>
      </c>
      <c r="S50" s="40">
        <v>4</v>
      </c>
      <c r="T50" s="40">
        <v>4</v>
      </c>
      <c r="U50" s="40">
        <v>4</v>
      </c>
      <c r="V50" s="40">
        <v>4</v>
      </c>
      <c r="W50" s="40">
        <v>4</v>
      </c>
      <c r="X50" s="40">
        <v>4</v>
      </c>
      <c r="Y50" s="40">
        <v>4</v>
      </c>
      <c r="Z50" s="40">
        <f t="shared" si="1"/>
        <v>4</v>
      </c>
      <c r="AA50" s="41">
        <v>5</v>
      </c>
      <c r="AB50" s="41">
        <v>5</v>
      </c>
      <c r="AC50" s="41">
        <v>5</v>
      </c>
      <c r="AD50" s="41">
        <v>5</v>
      </c>
      <c r="AE50" s="41">
        <v>5</v>
      </c>
      <c r="AF50" s="41">
        <v>5</v>
      </c>
      <c r="AG50" s="41">
        <v>5</v>
      </c>
      <c r="AH50" s="41">
        <v>5</v>
      </c>
      <c r="AI50" s="41">
        <v>5</v>
      </c>
      <c r="AJ50" s="41">
        <f t="shared" si="2"/>
        <v>5</v>
      </c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>
        <v>5</v>
      </c>
      <c r="AW50" s="42">
        <v>5</v>
      </c>
      <c r="AX50" s="42">
        <v>5</v>
      </c>
      <c r="AY50" s="42"/>
      <c r="AZ50" s="42"/>
      <c r="BA50" s="42">
        <f t="shared" si="3"/>
        <v>5</v>
      </c>
      <c r="BB50" s="43">
        <v>5</v>
      </c>
      <c r="BC50" s="43"/>
      <c r="BD50" s="44"/>
      <c r="BE50" s="44"/>
      <c r="BF50" s="45">
        <v>5</v>
      </c>
      <c r="BG50" s="45">
        <v>5</v>
      </c>
      <c r="BH50" s="45">
        <v>5</v>
      </c>
      <c r="BI50" s="45">
        <f t="shared" si="0"/>
        <v>5</v>
      </c>
    </row>
    <row r="51" spans="1:61" ht="16.5" customHeight="1">
      <c r="A51" s="50">
        <v>50</v>
      </c>
      <c r="B51" s="51" t="b">
        <v>0</v>
      </c>
      <c r="C51" s="37" t="s">
        <v>122</v>
      </c>
      <c r="D51" s="37" t="s">
        <v>98</v>
      </c>
      <c r="E51" s="38" t="s">
        <v>73</v>
      </c>
      <c r="F51" s="38" t="s">
        <v>63</v>
      </c>
      <c r="G51" s="38" t="s">
        <v>78</v>
      </c>
      <c r="H51" s="38">
        <v>2001</v>
      </c>
      <c r="I51" s="39" t="s">
        <v>65</v>
      </c>
      <c r="J51" s="39" t="s">
        <v>87</v>
      </c>
      <c r="K51" s="39" t="s">
        <v>65</v>
      </c>
      <c r="L51" s="39" t="s">
        <v>92</v>
      </c>
      <c r="M51" s="39" t="s">
        <v>70</v>
      </c>
      <c r="N51" s="39"/>
      <c r="O51" s="39"/>
      <c r="P51" s="39"/>
      <c r="Q51" s="40">
        <v>4</v>
      </c>
      <c r="R51" s="40">
        <v>4</v>
      </c>
      <c r="S51" s="40">
        <v>3</v>
      </c>
      <c r="T51" s="40">
        <v>1</v>
      </c>
      <c r="U51" s="40">
        <v>4</v>
      </c>
      <c r="V51" s="40">
        <v>4</v>
      </c>
      <c r="W51" s="40">
        <v>3</v>
      </c>
      <c r="X51" s="40">
        <v>1</v>
      </c>
      <c r="Y51" s="40">
        <v>2</v>
      </c>
      <c r="Z51" s="40">
        <f t="shared" si="1"/>
        <v>2.8888888888888888</v>
      </c>
      <c r="AA51" s="41">
        <v>4</v>
      </c>
      <c r="AB51" s="41">
        <v>4</v>
      </c>
      <c r="AC51" s="41">
        <v>4</v>
      </c>
      <c r="AD51" s="41">
        <v>4</v>
      </c>
      <c r="AE51" s="41">
        <v>3</v>
      </c>
      <c r="AF51" s="41">
        <v>4</v>
      </c>
      <c r="AG51" s="41">
        <v>4</v>
      </c>
      <c r="AH51" s="41">
        <v>4</v>
      </c>
      <c r="AI51" s="41">
        <v>4</v>
      </c>
      <c r="AJ51" s="41">
        <f t="shared" si="2"/>
        <v>3.8888888888888888</v>
      </c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>
        <v>3</v>
      </c>
      <c r="AW51" s="42">
        <v>3</v>
      </c>
      <c r="AX51" s="42">
        <v>5</v>
      </c>
      <c r="AY51" s="42"/>
      <c r="AZ51" s="42"/>
      <c r="BA51" s="42">
        <f t="shared" si="3"/>
        <v>4</v>
      </c>
      <c r="BB51" s="43">
        <v>3</v>
      </c>
      <c r="BC51" s="43">
        <v>2</v>
      </c>
      <c r="BD51" s="44"/>
      <c r="BE51" s="44"/>
      <c r="BF51" s="45"/>
      <c r="BG51" s="45">
        <v>3</v>
      </c>
      <c r="BH51" s="45">
        <v>2</v>
      </c>
      <c r="BI51" s="45">
        <f t="shared" si="0"/>
        <v>2.5</v>
      </c>
    </row>
    <row r="52" spans="1:61" ht="16.5" customHeight="1">
      <c r="A52" s="50">
        <v>51</v>
      </c>
      <c r="B52" s="51" t="b">
        <v>0</v>
      </c>
      <c r="C52" s="37" t="s">
        <v>122</v>
      </c>
      <c r="D52" s="37" t="s">
        <v>85</v>
      </c>
      <c r="E52" s="38" t="s">
        <v>72</v>
      </c>
      <c r="F52" s="38" t="s">
        <v>63</v>
      </c>
      <c r="G52" s="38" t="s">
        <v>78</v>
      </c>
      <c r="H52" s="38">
        <v>2007</v>
      </c>
      <c r="I52" s="39" t="s">
        <v>65</v>
      </c>
      <c r="J52" s="39" t="s">
        <v>87</v>
      </c>
      <c r="K52" s="39" t="s">
        <v>65</v>
      </c>
      <c r="L52" s="39">
        <v>3</v>
      </c>
      <c r="M52" s="39"/>
      <c r="N52" s="39"/>
      <c r="O52" s="39"/>
      <c r="P52" s="39" t="s">
        <v>70</v>
      </c>
      <c r="Q52" s="40">
        <v>4</v>
      </c>
      <c r="R52" s="40">
        <v>3</v>
      </c>
      <c r="S52" s="40">
        <v>3</v>
      </c>
      <c r="T52" s="40">
        <v>4</v>
      </c>
      <c r="U52" s="40">
        <v>3</v>
      </c>
      <c r="V52" s="40">
        <v>3</v>
      </c>
      <c r="W52" s="40">
        <v>3</v>
      </c>
      <c r="X52" s="40">
        <v>3</v>
      </c>
      <c r="Y52" s="40">
        <v>3</v>
      </c>
      <c r="Z52" s="40">
        <f t="shared" si="1"/>
        <v>3.2222222222222223</v>
      </c>
      <c r="AA52" s="41">
        <v>4</v>
      </c>
      <c r="AB52" s="41">
        <v>4</v>
      </c>
      <c r="AC52" s="41">
        <v>4</v>
      </c>
      <c r="AD52" s="41">
        <v>4</v>
      </c>
      <c r="AE52" s="41">
        <v>4</v>
      </c>
      <c r="AF52" s="41">
        <v>4</v>
      </c>
      <c r="AG52" s="41">
        <v>4</v>
      </c>
      <c r="AH52" s="41">
        <v>4</v>
      </c>
      <c r="AI52" s="41">
        <v>4</v>
      </c>
      <c r="AJ52" s="41">
        <f t="shared" si="2"/>
        <v>4</v>
      </c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>
        <v>3</v>
      </c>
      <c r="AW52" s="42">
        <v>1</v>
      </c>
      <c r="AX52" s="42">
        <v>4</v>
      </c>
      <c r="AY52" s="42">
        <v>4</v>
      </c>
      <c r="AZ52" s="42"/>
      <c r="BA52" s="42">
        <f t="shared" si="3"/>
        <v>3</v>
      </c>
      <c r="BB52" s="43">
        <v>4</v>
      </c>
      <c r="BC52" s="43">
        <v>3</v>
      </c>
      <c r="BD52" s="44"/>
      <c r="BE52" s="44"/>
      <c r="BF52" s="45">
        <v>4</v>
      </c>
      <c r="BG52" s="45">
        <v>4</v>
      </c>
      <c r="BH52" s="45">
        <v>5</v>
      </c>
      <c r="BI52" s="45">
        <f t="shared" si="0"/>
        <v>4</v>
      </c>
    </row>
    <row r="53" spans="1:61" ht="16.5" customHeight="1">
      <c r="A53" s="50">
        <v>52</v>
      </c>
      <c r="B53" s="51" t="b">
        <v>0</v>
      </c>
      <c r="C53" s="37" t="s">
        <v>122</v>
      </c>
      <c r="D53" s="37" t="s">
        <v>98</v>
      </c>
      <c r="E53" s="38" t="s">
        <v>97</v>
      </c>
      <c r="F53" s="38" t="s">
        <v>63</v>
      </c>
      <c r="G53" s="38" t="s">
        <v>78</v>
      </c>
      <c r="H53" s="38"/>
      <c r="I53" s="39" t="s">
        <v>65</v>
      </c>
      <c r="J53" s="39" t="s">
        <v>87</v>
      </c>
      <c r="K53" s="39" t="s">
        <v>65</v>
      </c>
      <c r="L53" s="39" t="s">
        <v>92</v>
      </c>
      <c r="M53" s="39" t="s">
        <v>70</v>
      </c>
      <c r="N53" s="39"/>
      <c r="O53" s="39"/>
      <c r="P53" s="39" t="s">
        <v>70</v>
      </c>
      <c r="Q53" s="40">
        <v>4</v>
      </c>
      <c r="R53" s="40">
        <v>3</v>
      </c>
      <c r="S53" s="40">
        <v>3</v>
      </c>
      <c r="T53" s="40">
        <v>3</v>
      </c>
      <c r="U53" s="40">
        <v>3</v>
      </c>
      <c r="V53" s="40">
        <v>3</v>
      </c>
      <c r="W53" s="40">
        <v>3</v>
      </c>
      <c r="X53" s="40">
        <v>3</v>
      </c>
      <c r="Y53" s="40">
        <v>3</v>
      </c>
      <c r="Z53" s="40">
        <f t="shared" si="1"/>
        <v>3.1111111111111112</v>
      </c>
      <c r="AA53" s="41">
        <v>4</v>
      </c>
      <c r="AB53" s="41">
        <v>4</v>
      </c>
      <c r="AC53" s="41">
        <v>4</v>
      </c>
      <c r="AD53" s="41">
        <v>4</v>
      </c>
      <c r="AE53" s="41">
        <v>4</v>
      </c>
      <c r="AF53" s="41">
        <v>4</v>
      </c>
      <c r="AG53" s="41">
        <v>4</v>
      </c>
      <c r="AH53" s="41">
        <v>4</v>
      </c>
      <c r="AI53" s="41">
        <v>4</v>
      </c>
      <c r="AJ53" s="41">
        <f t="shared" si="2"/>
        <v>4</v>
      </c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>
        <v>4</v>
      </c>
      <c r="AW53" s="42">
        <v>1</v>
      </c>
      <c r="AX53" s="42">
        <v>4</v>
      </c>
      <c r="AY53" s="42"/>
      <c r="AZ53" s="42"/>
      <c r="BA53" s="42">
        <f t="shared" si="3"/>
        <v>2.5</v>
      </c>
      <c r="BB53" s="43">
        <v>4</v>
      </c>
      <c r="BC53" s="43"/>
      <c r="BD53" s="44">
        <v>5</v>
      </c>
      <c r="BE53" s="44"/>
      <c r="BF53" s="45">
        <v>4</v>
      </c>
      <c r="BG53" s="45">
        <v>4</v>
      </c>
      <c r="BH53" s="45">
        <v>4</v>
      </c>
      <c r="BI53" s="45">
        <f t="shared" si="0"/>
        <v>4.2</v>
      </c>
    </row>
    <row r="54" spans="1:61" ht="16.5" customHeight="1">
      <c r="A54" s="50">
        <v>53</v>
      </c>
      <c r="B54" s="51" t="b">
        <v>0</v>
      </c>
      <c r="C54" s="37" t="s">
        <v>122</v>
      </c>
      <c r="D54" s="37" t="s">
        <v>123</v>
      </c>
      <c r="E54" s="38" t="s">
        <v>73</v>
      </c>
      <c r="F54" s="38" t="s">
        <v>126</v>
      </c>
      <c r="G54" s="38" t="s">
        <v>78</v>
      </c>
      <c r="H54" s="38">
        <v>2021</v>
      </c>
      <c r="I54" s="46" t="s">
        <v>69</v>
      </c>
      <c r="J54" s="39" t="s">
        <v>83</v>
      </c>
      <c r="K54" s="39" t="s">
        <v>69</v>
      </c>
      <c r="L54" s="39">
        <v>3</v>
      </c>
      <c r="M54" s="39"/>
      <c r="N54" s="39"/>
      <c r="O54" s="39" t="s">
        <v>70</v>
      </c>
      <c r="P54" s="39" t="s">
        <v>70</v>
      </c>
      <c r="Q54" s="40">
        <v>4</v>
      </c>
      <c r="R54" s="40">
        <v>4</v>
      </c>
      <c r="S54" s="40">
        <v>4</v>
      </c>
      <c r="T54" s="40">
        <v>4</v>
      </c>
      <c r="U54" s="40">
        <v>4</v>
      </c>
      <c r="V54" s="40">
        <v>4</v>
      </c>
      <c r="W54" s="40">
        <v>3</v>
      </c>
      <c r="X54" s="40">
        <v>3</v>
      </c>
      <c r="Y54" s="40">
        <v>2</v>
      </c>
      <c r="Z54" s="40">
        <f t="shared" si="1"/>
        <v>3.5555555555555554</v>
      </c>
      <c r="AA54" s="41">
        <v>5</v>
      </c>
      <c r="AB54" s="41">
        <v>5</v>
      </c>
      <c r="AC54" s="41">
        <v>5</v>
      </c>
      <c r="AD54" s="41">
        <v>5</v>
      </c>
      <c r="AE54" s="41">
        <v>5</v>
      </c>
      <c r="AF54" s="41">
        <v>5</v>
      </c>
      <c r="AG54" s="41">
        <v>3</v>
      </c>
      <c r="AH54" s="41">
        <v>3</v>
      </c>
      <c r="AI54" s="41">
        <v>5</v>
      </c>
      <c r="AJ54" s="41">
        <f t="shared" si="2"/>
        <v>4.5555555555555554</v>
      </c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>
        <v>4</v>
      </c>
      <c r="AW54" s="42">
        <v>5</v>
      </c>
      <c r="AX54" s="42">
        <v>5</v>
      </c>
      <c r="AY54" s="42"/>
      <c r="AZ54" s="42"/>
      <c r="BA54" s="42">
        <f t="shared" si="3"/>
        <v>5</v>
      </c>
      <c r="BB54" s="43">
        <v>3</v>
      </c>
      <c r="BC54" s="43"/>
      <c r="BD54" s="44"/>
      <c r="BE54" s="44">
        <v>3</v>
      </c>
      <c r="BF54" s="45"/>
      <c r="BG54" s="45"/>
      <c r="BH54" s="45">
        <v>5</v>
      </c>
      <c r="BI54" s="45">
        <f t="shared" si="0"/>
        <v>3.6666666666666665</v>
      </c>
    </row>
    <row r="55" spans="1:61" ht="16.5" customHeight="1">
      <c r="A55" s="50">
        <v>54</v>
      </c>
      <c r="B55" s="51" t="b">
        <v>1</v>
      </c>
      <c r="C55" s="37" t="s">
        <v>122</v>
      </c>
      <c r="D55" s="37" t="s">
        <v>98</v>
      </c>
      <c r="E55" s="38" t="s">
        <v>96</v>
      </c>
      <c r="F55" s="38" t="s">
        <v>63</v>
      </c>
      <c r="G55" s="38" t="s">
        <v>64</v>
      </c>
      <c r="H55" s="38">
        <v>2021</v>
      </c>
      <c r="I55" s="46" t="s">
        <v>69</v>
      </c>
      <c r="J55" s="39" t="s">
        <v>83</v>
      </c>
      <c r="K55" s="39"/>
      <c r="L55" s="39">
        <v>2.5</v>
      </c>
      <c r="M55" s="39"/>
      <c r="N55" s="39"/>
      <c r="O55" s="39" t="s">
        <v>70</v>
      </c>
      <c r="P55" s="39"/>
      <c r="Q55" s="40">
        <v>5</v>
      </c>
      <c r="R55" s="40">
        <v>5</v>
      </c>
      <c r="S55" s="40">
        <v>5</v>
      </c>
      <c r="T55" s="40">
        <v>5</v>
      </c>
      <c r="U55" s="40">
        <v>5</v>
      </c>
      <c r="V55" s="40">
        <v>5</v>
      </c>
      <c r="W55" s="40">
        <v>5</v>
      </c>
      <c r="X55" s="40">
        <v>5</v>
      </c>
      <c r="Y55" s="40">
        <v>5</v>
      </c>
      <c r="Z55" s="40">
        <f t="shared" si="1"/>
        <v>5</v>
      </c>
      <c r="AA55" s="41">
        <v>5</v>
      </c>
      <c r="AB55" s="41">
        <v>5</v>
      </c>
      <c r="AC55" s="41">
        <v>5</v>
      </c>
      <c r="AD55" s="41">
        <v>5</v>
      </c>
      <c r="AE55" s="41">
        <v>5</v>
      </c>
      <c r="AF55" s="41">
        <v>5</v>
      </c>
      <c r="AG55" s="41">
        <v>5</v>
      </c>
      <c r="AH55" s="41">
        <v>5</v>
      </c>
      <c r="AI55" s="41">
        <v>5</v>
      </c>
      <c r="AJ55" s="41">
        <f t="shared" si="2"/>
        <v>5</v>
      </c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>
        <v>5</v>
      </c>
      <c r="AW55" s="42">
        <v>5</v>
      </c>
      <c r="AX55" s="42">
        <v>5</v>
      </c>
      <c r="AY55" s="42"/>
      <c r="AZ55" s="42"/>
      <c r="BA55" s="42">
        <f t="shared" si="3"/>
        <v>5</v>
      </c>
      <c r="BB55" s="43">
        <v>5</v>
      </c>
      <c r="BC55" s="43"/>
      <c r="BD55" s="44"/>
      <c r="BE55" s="44"/>
      <c r="BF55" s="45">
        <v>5</v>
      </c>
      <c r="BG55" s="45"/>
      <c r="BH55" s="45">
        <v>5</v>
      </c>
      <c r="BI55" s="45">
        <f t="shared" si="0"/>
        <v>5</v>
      </c>
    </row>
    <row r="56" spans="1:61" ht="16.5" customHeight="1">
      <c r="A56" s="50">
        <v>55</v>
      </c>
      <c r="B56" s="51" t="b">
        <v>0</v>
      </c>
      <c r="C56" s="37" t="s">
        <v>122</v>
      </c>
      <c r="D56" s="37" t="s">
        <v>98</v>
      </c>
      <c r="E56" s="38" t="s">
        <v>72</v>
      </c>
      <c r="F56" s="38" t="s">
        <v>63</v>
      </c>
      <c r="G56" s="38" t="s">
        <v>78</v>
      </c>
      <c r="H56" s="38"/>
      <c r="I56" s="39" t="s">
        <v>65</v>
      </c>
      <c r="J56" s="39" t="s">
        <v>87</v>
      </c>
      <c r="K56" s="39" t="s">
        <v>65</v>
      </c>
      <c r="L56" s="39" t="s">
        <v>92</v>
      </c>
      <c r="M56" s="39" t="s">
        <v>70</v>
      </c>
      <c r="N56" s="39"/>
      <c r="O56" s="39"/>
      <c r="P56" s="39"/>
      <c r="Q56" s="40">
        <v>4</v>
      </c>
      <c r="R56" s="40">
        <v>4</v>
      </c>
      <c r="S56" s="40">
        <v>4</v>
      </c>
      <c r="T56" s="40">
        <v>4</v>
      </c>
      <c r="U56" s="40">
        <v>4</v>
      </c>
      <c r="V56" s="40">
        <v>4</v>
      </c>
      <c r="W56" s="40">
        <v>4</v>
      </c>
      <c r="X56" s="40">
        <v>4</v>
      </c>
      <c r="Y56" s="40">
        <v>4</v>
      </c>
      <c r="Z56" s="40">
        <f t="shared" si="1"/>
        <v>4</v>
      </c>
      <c r="AA56" s="41">
        <v>4</v>
      </c>
      <c r="AB56" s="41">
        <v>4</v>
      </c>
      <c r="AC56" s="41">
        <v>4</v>
      </c>
      <c r="AD56" s="41">
        <v>4</v>
      </c>
      <c r="AE56" s="41">
        <v>4</v>
      </c>
      <c r="AF56" s="41">
        <v>4</v>
      </c>
      <c r="AG56" s="41">
        <v>4</v>
      </c>
      <c r="AH56" s="41">
        <v>4</v>
      </c>
      <c r="AI56" s="41">
        <v>4</v>
      </c>
      <c r="AJ56" s="41">
        <f t="shared" si="2"/>
        <v>4</v>
      </c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>
        <v>4</v>
      </c>
      <c r="AW56" s="42">
        <v>5</v>
      </c>
      <c r="AX56" s="42">
        <v>2</v>
      </c>
      <c r="AY56" s="42"/>
      <c r="AZ56" s="42"/>
      <c r="BA56" s="42">
        <f t="shared" si="3"/>
        <v>3.5</v>
      </c>
      <c r="BB56" s="43">
        <v>5</v>
      </c>
      <c r="BC56" s="43">
        <v>4</v>
      </c>
      <c r="BD56" s="44">
        <v>5</v>
      </c>
      <c r="BE56" s="44"/>
      <c r="BF56" s="45">
        <v>4</v>
      </c>
      <c r="BG56" s="45"/>
      <c r="BH56" s="45">
        <v>4</v>
      </c>
      <c r="BI56" s="45">
        <f t="shared" si="0"/>
        <v>4.4000000000000004</v>
      </c>
    </row>
    <row r="57" spans="1:61" ht="16.5" customHeight="1">
      <c r="A57" s="50">
        <v>56</v>
      </c>
      <c r="B57" s="51" t="b">
        <v>1</v>
      </c>
      <c r="C57" s="37" t="s">
        <v>122</v>
      </c>
      <c r="D57" s="37" t="s">
        <v>98</v>
      </c>
      <c r="E57" s="38" t="s">
        <v>96</v>
      </c>
      <c r="F57" s="38" t="s">
        <v>74</v>
      </c>
      <c r="G57" s="38" t="s">
        <v>64</v>
      </c>
      <c r="H57" s="38">
        <v>2021</v>
      </c>
      <c r="I57" s="46" t="s">
        <v>69</v>
      </c>
      <c r="J57" s="39" t="s">
        <v>83</v>
      </c>
      <c r="K57" s="39"/>
      <c r="L57" s="39">
        <v>2.5</v>
      </c>
      <c r="M57" s="39"/>
      <c r="N57" s="39"/>
      <c r="O57" s="39" t="s">
        <v>70</v>
      </c>
      <c r="P57" s="39"/>
      <c r="Q57" s="40">
        <v>5</v>
      </c>
      <c r="R57" s="40">
        <v>5</v>
      </c>
      <c r="S57" s="40">
        <v>5</v>
      </c>
      <c r="T57" s="40">
        <v>5</v>
      </c>
      <c r="U57" s="40">
        <v>5</v>
      </c>
      <c r="V57" s="40">
        <v>5</v>
      </c>
      <c r="W57" s="40">
        <v>5</v>
      </c>
      <c r="X57" s="40">
        <v>5</v>
      </c>
      <c r="Y57" s="40">
        <v>5</v>
      </c>
      <c r="Z57" s="40">
        <f t="shared" si="1"/>
        <v>5</v>
      </c>
      <c r="AA57" s="41">
        <v>5</v>
      </c>
      <c r="AB57" s="41">
        <v>5</v>
      </c>
      <c r="AC57" s="41">
        <v>5</v>
      </c>
      <c r="AD57" s="41">
        <v>5</v>
      </c>
      <c r="AE57" s="41">
        <v>5</v>
      </c>
      <c r="AF57" s="41">
        <v>5</v>
      </c>
      <c r="AG57" s="41">
        <v>5</v>
      </c>
      <c r="AH57" s="41">
        <v>5</v>
      </c>
      <c r="AI57" s="41">
        <v>5</v>
      </c>
      <c r="AJ57" s="41">
        <f t="shared" si="2"/>
        <v>5</v>
      </c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>
        <v>5</v>
      </c>
      <c r="AW57" s="42">
        <v>5</v>
      </c>
      <c r="AX57" s="42">
        <v>5</v>
      </c>
      <c r="AY57" s="42"/>
      <c r="AZ57" s="42"/>
      <c r="BA57" s="42">
        <f t="shared" si="3"/>
        <v>5</v>
      </c>
      <c r="BB57" s="43">
        <v>5</v>
      </c>
      <c r="BC57" s="43"/>
      <c r="BD57" s="44"/>
      <c r="BE57" s="44"/>
      <c r="BF57" s="45">
        <v>5</v>
      </c>
      <c r="BG57" s="45"/>
      <c r="BH57" s="45">
        <v>5</v>
      </c>
      <c r="BI57" s="45">
        <f t="shared" si="0"/>
        <v>5</v>
      </c>
    </row>
    <row r="58" spans="1:61" ht="16.5" customHeight="1">
      <c r="A58" s="50">
        <v>57</v>
      </c>
      <c r="B58" s="51" t="b">
        <v>1</v>
      </c>
      <c r="C58" s="37" t="s">
        <v>122</v>
      </c>
      <c r="D58" s="37" t="s">
        <v>98</v>
      </c>
      <c r="E58" s="38" t="s">
        <v>73</v>
      </c>
      <c r="F58" s="38" t="s">
        <v>74</v>
      </c>
      <c r="G58" s="38" t="s">
        <v>64</v>
      </c>
      <c r="H58" s="38">
        <v>2020</v>
      </c>
      <c r="I58" s="46" t="s">
        <v>69</v>
      </c>
      <c r="J58" s="39" t="s">
        <v>87</v>
      </c>
      <c r="K58" s="39" t="s">
        <v>69</v>
      </c>
      <c r="L58" s="39">
        <v>3</v>
      </c>
      <c r="M58" s="39"/>
      <c r="N58" s="39"/>
      <c r="O58" s="39"/>
      <c r="P58" s="39"/>
      <c r="Q58" s="40">
        <v>5</v>
      </c>
      <c r="R58" s="40">
        <v>5</v>
      </c>
      <c r="S58" s="40">
        <v>5</v>
      </c>
      <c r="T58" s="40">
        <v>4</v>
      </c>
      <c r="U58" s="40">
        <v>4</v>
      </c>
      <c r="V58" s="40">
        <v>5</v>
      </c>
      <c r="W58" s="40">
        <v>4</v>
      </c>
      <c r="X58" s="40">
        <v>5</v>
      </c>
      <c r="Y58" s="40">
        <v>4</v>
      </c>
      <c r="Z58" s="40">
        <f t="shared" si="1"/>
        <v>4.5555555555555554</v>
      </c>
      <c r="AA58" s="41">
        <v>5</v>
      </c>
      <c r="AB58" s="41">
        <v>5</v>
      </c>
      <c r="AC58" s="41">
        <v>5</v>
      </c>
      <c r="AD58" s="41">
        <v>5</v>
      </c>
      <c r="AE58" s="41">
        <v>5</v>
      </c>
      <c r="AF58" s="41">
        <v>5</v>
      </c>
      <c r="AG58" s="41">
        <v>5</v>
      </c>
      <c r="AH58" s="41">
        <v>5</v>
      </c>
      <c r="AI58" s="41">
        <v>2</v>
      </c>
      <c r="AJ58" s="41">
        <f t="shared" si="2"/>
        <v>4.666666666666667</v>
      </c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0">
        <v>5</v>
      </c>
      <c r="AW58" s="42">
        <v>3</v>
      </c>
      <c r="AX58" s="42">
        <v>5</v>
      </c>
      <c r="AY58" s="42"/>
      <c r="AZ58" s="42"/>
      <c r="BA58" s="42">
        <f t="shared" si="3"/>
        <v>4</v>
      </c>
      <c r="BB58" s="43"/>
      <c r="BC58" s="43"/>
      <c r="BD58" s="44"/>
      <c r="BE58" s="44"/>
      <c r="BF58" s="45">
        <v>5</v>
      </c>
      <c r="BG58" s="45">
        <v>4</v>
      </c>
      <c r="BH58" s="45"/>
      <c r="BI58" s="45">
        <f t="shared" si="0"/>
        <v>4.5</v>
      </c>
    </row>
    <row r="59" spans="1:61" ht="16.5" customHeight="1">
      <c r="A59" s="50">
        <v>58</v>
      </c>
      <c r="B59" s="51" t="b">
        <v>0</v>
      </c>
      <c r="C59" s="37" t="s">
        <v>122</v>
      </c>
      <c r="D59" s="37" t="s">
        <v>98</v>
      </c>
      <c r="E59" s="38" t="s">
        <v>127</v>
      </c>
      <c r="F59" s="38" t="s">
        <v>74</v>
      </c>
      <c r="G59" s="38" t="s">
        <v>64</v>
      </c>
      <c r="H59" s="38"/>
      <c r="I59" s="46" t="s">
        <v>69</v>
      </c>
      <c r="J59" s="39" t="s">
        <v>87</v>
      </c>
      <c r="K59" s="39" t="s">
        <v>65</v>
      </c>
      <c r="L59" s="39" t="s">
        <v>92</v>
      </c>
      <c r="M59" s="39"/>
      <c r="N59" s="39" t="s">
        <v>70</v>
      </c>
      <c r="O59" s="39"/>
      <c r="P59" s="39"/>
      <c r="Q59" s="40">
        <v>4</v>
      </c>
      <c r="R59" s="40">
        <v>4</v>
      </c>
      <c r="S59" s="40">
        <v>4</v>
      </c>
      <c r="T59" s="40">
        <v>4</v>
      </c>
      <c r="U59" s="40">
        <v>4</v>
      </c>
      <c r="V59" s="40">
        <v>4</v>
      </c>
      <c r="W59" s="40">
        <v>3</v>
      </c>
      <c r="X59" s="40">
        <v>4</v>
      </c>
      <c r="Y59" s="40">
        <v>3</v>
      </c>
      <c r="Z59" s="40">
        <f t="shared" si="1"/>
        <v>3.7777777777777777</v>
      </c>
      <c r="AA59" s="41">
        <v>4</v>
      </c>
      <c r="AB59" s="41">
        <v>4</v>
      </c>
      <c r="AC59" s="41">
        <v>4</v>
      </c>
      <c r="AD59" s="41">
        <v>4</v>
      </c>
      <c r="AE59" s="41">
        <v>4</v>
      </c>
      <c r="AF59" s="41">
        <v>4</v>
      </c>
      <c r="AG59" s="41">
        <v>3</v>
      </c>
      <c r="AH59" s="41">
        <v>4</v>
      </c>
      <c r="AI59" s="41">
        <v>4</v>
      </c>
      <c r="AJ59" s="41">
        <f t="shared" si="2"/>
        <v>3.8888888888888888</v>
      </c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2">
        <v>2</v>
      </c>
      <c r="AX59" s="42">
        <v>4</v>
      </c>
      <c r="AY59" s="42"/>
      <c r="AZ59" s="42"/>
      <c r="BA59" s="42">
        <f t="shared" si="3"/>
        <v>3</v>
      </c>
      <c r="BB59" s="43">
        <v>5</v>
      </c>
      <c r="BC59" s="43"/>
      <c r="BD59" s="44"/>
      <c r="BE59" s="44"/>
      <c r="BF59" s="45">
        <v>5</v>
      </c>
      <c r="BG59" s="45">
        <v>5</v>
      </c>
      <c r="BH59" s="45">
        <v>5</v>
      </c>
      <c r="BI59" s="45">
        <f t="shared" si="0"/>
        <v>5</v>
      </c>
    </row>
    <row r="60" spans="1:61" ht="16.5" customHeight="1">
      <c r="A60" s="50">
        <v>59</v>
      </c>
      <c r="B60" s="51" t="b">
        <v>0</v>
      </c>
      <c r="C60" s="37" t="s">
        <v>122</v>
      </c>
      <c r="D60" s="37" t="s">
        <v>85</v>
      </c>
      <c r="E60" s="38" t="s">
        <v>128</v>
      </c>
      <c r="F60" s="38"/>
      <c r="G60" s="38"/>
      <c r="H60" s="38">
        <v>2011</v>
      </c>
      <c r="I60" s="39" t="s">
        <v>65</v>
      </c>
      <c r="J60" s="39" t="s">
        <v>87</v>
      </c>
      <c r="K60" s="39" t="s">
        <v>65</v>
      </c>
      <c r="L60" s="39">
        <v>3</v>
      </c>
      <c r="M60" s="39"/>
      <c r="N60" s="39"/>
      <c r="O60" s="39"/>
      <c r="P60" s="39" t="s">
        <v>70</v>
      </c>
      <c r="Q60" s="40">
        <v>3</v>
      </c>
      <c r="R60" s="40">
        <v>3</v>
      </c>
      <c r="S60" s="40">
        <v>3</v>
      </c>
      <c r="T60" s="40">
        <v>3</v>
      </c>
      <c r="U60" s="40">
        <v>3</v>
      </c>
      <c r="V60" s="40">
        <v>3</v>
      </c>
      <c r="W60" s="40">
        <v>3</v>
      </c>
      <c r="X60" s="40">
        <v>3</v>
      </c>
      <c r="Y60" s="40">
        <v>3</v>
      </c>
      <c r="Z60" s="40">
        <f t="shared" si="1"/>
        <v>3</v>
      </c>
      <c r="AA60" s="41">
        <v>3</v>
      </c>
      <c r="AB60" s="41">
        <v>3</v>
      </c>
      <c r="AC60" s="41">
        <v>3</v>
      </c>
      <c r="AD60" s="41">
        <v>3</v>
      </c>
      <c r="AE60" s="41">
        <v>3</v>
      </c>
      <c r="AF60" s="41">
        <v>3</v>
      </c>
      <c r="AG60" s="41">
        <v>3</v>
      </c>
      <c r="AH60" s="41">
        <v>3</v>
      </c>
      <c r="AI60" s="41">
        <v>3</v>
      </c>
      <c r="AJ60" s="41">
        <f t="shared" si="2"/>
        <v>3</v>
      </c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40">
        <v>3</v>
      </c>
      <c r="AW60" s="42">
        <v>1</v>
      </c>
      <c r="AX60" s="42">
        <v>3</v>
      </c>
      <c r="AY60" s="42"/>
      <c r="AZ60" s="42"/>
      <c r="BA60" s="42">
        <f t="shared" si="3"/>
        <v>2</v>
      </c>
      <c r="BB60" s="43">
        <v>2</v>
      </c>
      <c r="BC60" s="43"/>
      <c r="BD60" s="44"/>
      <c r="BE60" s="44"/>
      <c r="BF60" s="45">
        <v>3</v>
      </c>
      <c r="BG60" s="45">
        <v>2</v>
      </c>
      <c r="BH60" s="45">
        <v>2</v>
      </c>
      <c r="BI60" s="45">
        <f t="shared" si="0"/>
        <v>2.25</v>
      </c>
    </row>
    <row r="61" spans="1:61" ht="16.5" customHeight="1">
      <c r="A61" s="50">
        <v>60</v>
      </c>
      <c r="B61" s="51" t="b">
        <v>0</v>
      </c>
      <c r="C61" s="37" t="s">
        <v>129</v>
      </c>
      <c r="D61" s="37"/>
      <c r="E61" s="38" t="s">
        <v>130</v>
      </c>
      <c r="F61" s="38" t="s">
        <v>74</v>
      </c>
      <c r="G61" s="38" t="s">
        <v>64</v>
      </c>
      <c r="H61" s="38">
        <v>2021</v>
      </c>
      <c r="I61" s="46" t="s">
        <v>69</v>
      </c>
      <c r="J61" s="39" t="s">
        <v>87</v>
      </c>
      <c r="K61" s="39"/>
      <c r="L61" s="39" t="s">
        <v>92</v>
      </c>
      <c r="M61" s="39"/>
      <c r="N61" s="39" t="s">
        <v>70</v>
      </c>
      <c r="O61" s="39"/>
      <c r="P61" s="39"/>
      <c r="Q61" s="40">
        <v>5</v>
      </c>
      <c r="R61" s="40">
        <v>5</v>
      </c>
      <c r="S61" s="40">
        <v>5</v>
      </c>
      <c r="T61" s="40">
        <v>5</v>
      </c>
      <c r="U61" s="40">
        <v>4</v>
      </c>
      <c r="V61" s="40">
        <v>5</v>
      </c>
      <c r="W61" s="40">
        <v>5</v>
      </c>
      <c r="X61" s="40">
        <v>5</v>
      </c>
      <c r="Y61" s="40">
        <v>4</v>
      </c>
      <c r="Z61" s="40">
        <f t="shared" si="1"/>
        <v>4.7777777777777777</v>
      </c>
      <c r="AA61" s="41">
        <v>5</v>
      </c>
      <c r="AB61" s="41">
        <v>5</v>
      </c>
      <c r="AC61" s="41">
        <v>5</v>
      </c>
      <c r="AD61" s="41">
        <v>5</v>
      </c>
      <c r="AE61" s="41">
        <v>4</v>
      </c>
      <c r="AF61" s="41">
        <v>5</v>
      </c>
      <c r="AG61" s="41">
        <v>5</v>
      </c>
      <c r="AH61" s="41">
        <v>5</v>
      </c>
      <c r="AI61" s="41">
        <v>5</v>
      </c>
      <c r="AJ61" s="41">
        <f t="shared" si="2"/>
        <v>4.8888888888888893</v>
      </c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2">
        <v>5</v>
      </c>
      <c r="AX61" s="42">
        <v>5</v>
      </c>
      <c r="AY61" s="42">
        <v>5</v>
      </c>
      <c r="AZ61" s="42"/>
      <c r="BA61" s="42">
        <f t="shared" si="3"/>
        <v>5</v>
      </c>
      <c r="BB61" s="43"/>
      <c r="BC61" s="43"/>
      <c r="BD61" s="44"/>
      <c r="BE61" s="44"/>
      <c r="BF61" s="45"/>
      <c r="BG61" s="45"/>
      <c r="BH61" s="45">
        <v>5</v>
      </c>
      <c r="BI61" s="45">
        <f t="shared" si="0"/>
        <v>5</v>
      </c>
    </row>
    <row r="62" spans="1:61" ht="16.5" customHeight="1">
      <c r="A62" s="50">
        <v>61</v>
      </c>
      <c r="B62" s="51" t="b">
        <v>0</v>
      </c>
      <c r="C62" s="37" t="s">
        <v>129</v>
      </c>
      <c r="D62" s="37"/>
      <c r="E62" s="38" t="s">
        <v>72</v>
      </c>
      <c r="F62" s="38" t="s">
        <v>105</v>
      </c>
      <c r="G62" s="38" t="s">
        <v>78</v>
      </c>
      <c r="H62" s="38"/>
      <c r="I62" s="39" t="s">
        <v>65</v>
      </c>
      <c r="J62" s="39" t="s">
        <v>87</v>
      </c>
      <c r="K62" s="39"/>
      <c r="L62" s="39" t="s">
        <v>92</v>
      </c>
      <c r="M62" s="39"/>
      <c r="N62" s="39" t="s">
        <v>70</v>
      </c>
      <c r="O62" s="39"/>
      <c r="P62" s="39"/>
      <c r="Q62" s="40">
        <v>4</v>
      </c>
      <c r="R62" s="40">
        <v>4</v>
      </c>
      <c r="S62" s="40">
        <v>4</v>
      </c>
      <c r="T62" s="40">
        <v>4</v>
      </c>
      <c r="U62" s="40">
        <v>4</v>
      </c>
      <c r="V62" s="40">
        <v>4</v>
      </c>
      <c r="W62" s="40">
        <v>3</v>
      </c>
      <c r="X62" s="40">
        <v>3</v>
      </c>
      <c r="Y62" s="40">
        <v>3</v>
      </c>
      <c r="Z62" s="40">
        <f t="shared" si="1"/>
        <v>3.6666666666666665</v>
      </c>
      <c r="AA62" s="41">
        <v>4</v>
      </c>
      <c r="AB62" s="41">
        <v>4</v>
      </c>
      <c r="AC62" s="41">
        <v>4</v>
      </c>
      <c r="AD62" s="41">
        <v>4</v>
      </c>
      <c r="AE62" s="41">
        <v>4</v>
      </c>
      <c r="AF62" s="41">
        <v>4</v>
      </c>
      <c r="AG62" s="41">
        <v>4</v>
      </c>
      <c r="AH62" s="41">
        <v>4</v>
      </c>
      <c r="AI62" s="41">
        <v>3</v>
      </c>
      <c r="AJ62" s="41">
        <f t="shared" si="2"/>
        <v>3.8888888888888888</v>
      </c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2">
        <v>4</v>
      </c>
      <c r="AX62" s="42">
        <v>4</v>
      </c>
      <c r="AY62" s="42">
        <v>4</v>
      </c>
      <c r="AZ62" s="42"/>
      <c r="BA62" s="42">
        <f t="shared" si="3"/>
        <v>4</v>
      </c>
      <c r="BB62" s="43">
        <v>4</v>
      </c>
      <c r="BC62" s="43">
        <v>3</v>
      </c>
      <c r="BD62" s="44"/>
      <c r="BE62" s="44"/>
      <c r="BF62" s="45">
        <v>5</v>
      </c>
      <c r="BG62" s="45">
        <v>5</v>
      </c>
      <c r="BH62" s="45">
        <v>5</v>
      </c>
      <c r="BI62" s="45">
        <f t="shared" si="0"/>
        <v>4.4000000000000004</v>
      </c>
    </row>
    <row r="63" spans="1:61" ht="16.5" customHeight="1">
      <c r="A63" s="50">
        <v>62</v>
      </c>
      <c r="B63" s="51" t="b">
        <v>0</v>
      </c>
      <c r="C63" s="37" t="s">
        <v>129</v>
      </c>
      <c r="D63" s="37"/>
      <c r="E63" s="38" t="s">
        <v>131</v>
      </c>
      <c r="F63" s="38" t="s">
        <v>105</v>
      </c>
      <c r="G63" s="38" t="s">
        <v>78</v>
      </c>
      <c r="H63" s="38">
        <v>2018</v>
      </c>
      <c r="I63" s="46" t="s">
        <v>69</v>
      </c>
      <c r="J63" s="39" t="s">
        <v>87</v>
      </c>
      <c r="K63" s="39" t="s">
        <v>69</v>
      </c>
      <c r="L63" s="39" t="s">
        <v>92</v>
      </c>
      <c r="M63" s="39"/>
      <c r="N63" s="39" t="s">
        <v>70</v>
      </c>
      <c r="O63" s="39"/>
      <c r="P63" s="39"/>
      <c r="Q63" s="40">
        <v>4</v>
      </c>
      <c r="R63" s="40">
        <v>4</v>
      </c>
      <c r="S63" s="40">
        <v>4</v>
      </c>
      <c r="T63" s="40">
        <v>4</v>
      </c>
      <c r="U63" s="40">
        <v>4</v>
      </c>
      <c r="V63" s="40">
        <v>4</v>
      </c>
      <c r="W63" s="40">
        <v>4</v>
      </c>
      <c r="X63" s="40">
        <v>4</v>
      </c>
      <c r="Y63" s="40">
        <v>3</v>
      </c>
      <c r="Z63" s="40">
        <f t="shared" si="1"/>
        <v>3.8888888888888888</v>
      </c>
      <c r="AA63" s="41">
        <v>4</v>
      </c>
      <c r="AB63" s="41">
        <v>4</v>
      </c>
      <c r="AC63" s="41">
        <v>4</v>
      </c>
      <c r="AD63" s="41">
        <v>4</v>
      </c>
      <c r="AE63" s="41">
        <v>4</v>
      </c>
      <c r="AF63" s="41">
        <v>4</v>
      </c>
      <c r="AG63" s="41">
        <v>4</v>
      </c>
      <c r="AH63" s="41">
        <v>4</v>
      </c>
      <c r="AI63" s="41">
        <v>4</v>
      </c>
      <c r="AJ63" s="41">
        <f t="shared" si="2"/>
        <v>4</v>
      </c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2">
        <v>5</v>
      </c>
      <c r="AX63" s="42"/>
      <c r="AY63" s="42"/>
      <c r="AZ63" s="42"/>
      <c r="BA63" s="42">
        <f t="shared" si="3"/>
        <v>5</v>
      </c>
      <c r="BB63" s="43"/>
      <c r="BC63" s="43"/>
      <c r="BD63" s="44">
        <v>5</v>
      </c>
      <c r="BE63" s="44"/>
      <c r="BF63" s="45"/>
      <c r="BG63" s="45">
        <v>5</v>
      </c>
      <c r="BH63" s="45"/>
      <c r="BI63" s="45">
        <f t="shared" si="0"/>
        <v>5</v>
      </c>
    </row>
    <row r="64" spans="1:61" ht="16.5" customHeight="1">
      <c r="A64" s="50">
        <v>63</v>
      </c>
      <c r="B64" s="51" t="b">
        <v>0</v>
      </c>
      <c r="C64" s="37" t="s">
        <v>129</v>
      </c>
      <c r="D64" s="37"/>
      <c r="E64" s="38" t="s">
        <v>132</v>
      </c>
      <c r="F64" s="38" t="s">
        <v>74</v>
      </c>
      <c r="G64" s="38" t="s">
        <v>64</v>
      </c>
      <c r="H64" s="38">
        <v>2022</v>
      </c>
      <c r="I64" s="46" t="s">
        <v>69</v>
      </c>
      <c r="J64" s="39" t="s">
        <v>87</v>
      </c>
      <c r="K64" s="39" t="s">
        <v>69</v>
      </c>
      <c r="L64" s="39" t="s">
        <v>92</v>
      </c>
      <c r="M64" s="39"/>
      <c r="N64" s="39" t="s">
        <v>70</v>
      </c>
      <c r="O64" s="39"/>
      <c r="P64" s="39"/>
      <c r="Q64" s="40">
        <v>4</v>
      </c>
      <c r="R64" s="40">
        <v>3</v>
      </c>
      <c r="S64" s="40">
        <v>3</v>
      </c>
      <c r="T64" s="40">
        <v>4</v>
      </c>
      <c r="U64" s="40">
        <v>3</v>
      </c>
      <c r="V64" s="40">
        <v>4</v>
      </c>
      <c r="W64" s="40">
        <v>3</v>
      </c>
      <c r="X64" s="40">
        <v>3</v>
      </c>
      <c r="Y64" s="40">
        <v>3</v>
      </c>
      <c r="Z64" s="40">
        <f t="shared" si="1"/>
        <v>3.3333333333333335</v>
      </c>
      <c r="AA64" s="41">
        <v>4</v>
      </c>
      <c r="AB64" s="41">
        <v>4</v>
      </c>
      <c r="AC64" s="41">
        <v>4</v>
      </c>
      <c r="AD64" s="41">
        <v>4</v>
      </c>
      <c r="AE64" s="41">
        <v>4</v>
      </c>
      <c r="AF64" s="41">
        <v>4</v>
      </c>
      <c r="AG64" s="41">
        <v>4</v>
      </c>
      <c r="AH64" s="41">
        <v>4</v>
      </c>
      <c r="AI64" s="41">
        <v>4</v>
      </c>
      <c r="AJ64" s="41">
        <f t="shared" si="2"/>
        <v>4</v>
      </c>
      <c r="AK64" s="40"/>
      <c r="AL64" s="40"/>
      <c r="AM64" s="40"/>
      <c r="AN64" s="40"/>
      <c r="AO64" s="40"/>
      <c r="AP64" s="40"/>
      <c r="AQ64" s="40"/>
      <c r="AR64" s="40"/>
      <c r="AS64" s="40"/>
      <c r="AT64" s="40"/>
      <c r="AU64" s="40"/>
      <c r="AV64" s="40"/>
      <c r="AW64" s="42"/>
      <c r="AX64" s="42">
        <v>5</v>
      </c>
      <c r="AY64" s="42">
        <v>5</v>
      </c>
      <c r="AZ64" s="42"/>
      <c r="BA64" s="42">
        <f t="shared" si="3"/>
        <v>5</v>
      </c>
      <c r="BB64" s="43">
        <v>4</v>
      </c>
      <c r="BC64" s="43">
        <v>3</v>
      </c>
      <c r="BD64" s="44">
        <v>5</v>
      </c>
      <c r="BE64" s="44"/>
      <c r="BF64" s="45"/>
      <c r="BG64" s="45">
        <v>5</v>
      </c>
      <c r="BH64" s="45"/>
      <c r="BI64" s="45">
        <f t="shared" si="0"/>
        <v>4.25</v>
      </c>
    </row>
    <row r="65" spans="1:61" ht="16.5" customHeight="1">
      <c r="A65" s="50">
        <v>64</v>
      </c>
      <c r="B65" s="51" t="b">
        <v>1</v>
      </c>
      <c r="C65" s="37" t="s">
        <v>129</v>
      </c>
      <c r="D65" s="37" t="s">
        <v>85</v>
      </c>
      <c r="E65" s="38" t="s">
        <v>72</v>
      </c>
      <c r="F65" s="38" t="s">
        <v>63</v>
      </c>
      <c r="G65" s="38" t="s">
        <v>78</v>
      </c>
      <c r="H65" s="38">
        <v>2017</v>
      </c>
      <c r="I65" s="39" t="s">
        <v>65</v>
      </c>
      <c r="J65" s="39" t="s">
        <v>87</v>
      </c>
      <c r="K65" s="39" t="s">
        <v>69</v>
      </c>
      <c r="L65" s="39">
        <v>3</v>
      </c>
      <c r="M65" s="39"/>
      <c r="N65" s="39"/>
      <c r="O65" s="39" t="s">
        <v>70</v>
      </c>
      <c r="P65" s="39"/>
      <c r="Q65" s="40">
        <v>4</v>
      </c>
      <c r="R65" s="40">
        <v>4</v>
      </c>
      <c r="S65" s="40">
        <v>4</v>
      </c>
      <c r="T65" s="40">
        <v>4</v>
      </c>
      <c r="U65" s="40">
        <v>3</v>
      </c>
      <c r="V65" s="40">
        <v>4</v>
      </c>
      <c r="W65" s="40">
        <v>4</v>
      </c>
      <c r="X65" s="40">
        <v>4</v>
      </c>
      <c r="Y65" s="40">
        <v>4</v>
      </c>
      <c r="Z65" s="40">
        <f t="shared" si="1"/>
        <v>3.8888888888888888</v>
      </c>
      <c r="AA65" s="41">
        <v>4</v>
      </c>
      <c r="AB65" s="41">
        <v>4</v>
      </c>
      <c r="AC65" s="41">
        <v>5</v>
      </c>
      <c r="AD65" s="41">
        <v>5</v>
      </c>
      <c r="AE65" s="41">
        <v>4</v>
      </c>
      <c r="AF65" s="41">
        <v>5</v>
      </c>
      <c r="AG65" s="41">
        <v>5</v>
      </c>
      <c r="AH65" s="41">
        <v>4</v>
      </c>
      <c r="AI65" s="41">
        <v>4</v>
      </c>
      <c r="AJ65" s="41">
        <f t="shared" si="2"/>
        <v>4.4444444444444446</v>
      </c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>
        <v>4</v>
      </c>
      <c r="AW65" s="42">
        <v>3</v>
      </c>
      <c r="AX65" s="42">
        <v>4</v>
      </c>
      <c r="AY65" s="42">
        <v>5</v>
      </c>
      <c r="AZ65" s="42"/>
      <c r="BA65" s="42">
        <f t="shared" si="3"/>
        <v>4</v>
      </c>
      <c r="BB65" s="43">
        <v>5</v>
      </c>
      <c r="BC65" s="43"/>
      <c r="BD65" s="44">
        <v>5</v>
      </c>
      <c r="BE65" s="44"/>
      <c r="BF65" s="45">
        <v>5</v>
      </c>
      <c r="BG65" s="45">
        <v>5</v>
      </c>
      <c r="BH65" s="45">
        <v>5</v>
      </c>
      <c r="BI65" s="45">
        <f t="shared" si="0"/>
        <v>5</v>
      </c>
    </row>
    <row r="66" spans="1:61" ht="16.5" customHeight="1">
      <c r="A66" s="50">
        <v>65</v>
      </c>
      <c r="B66" s="51" t="b">
        <v>0</v>
      </c>
      <c r="C66" s="37" t="s">
        <v>129</v>
      </c>
      <c r="D66" s="37"/>
      <c r="E66" s="38" t="s">
        <v>133</v>
      </c>
      <c r="F66" s="38" t="s">
        <v>105</v>
      </c>
      <c r="G66" s="38"/>
      <c r="H66" s="38"/>
      <c r="I66" s="39" t="s">
        <v>65</v>
      </c>
      <c r="J66" s="39" t="s">
        <v>87</v>
      </c>
      <c r="K66" s="39"/>
      <c r="L66" s="46">
        <v>2.5</v>
      </c>
      <c r="M66" s="39"/>
      <c r="N66" s="39"/>
      <c r="O66" s="39"/>
      <c r="P66" s="39"/>
      <c r="Q66" s="40">
        <v>5</v>
      </c>
      <c r="R66" s="40">
        <v>5</v>
      </c>
      <c r="S66" s="40">
        <v>5</v>
      </c>
      <c r="T66" s="40">
        <v>5</v>
      </c>
      <c r="U66" s="40">
        <v>3</v>
      </c>
      <c r="V66" s="40">
        <v>5</v>
      </c>
      <c r="W66" s="40">
        <v>5</v>
      </c>
      <c r="X66" s="40">
        <v>4</v>
      </c>
      <c r="Y66" s="40">
        <v>5</v>
      </c>
      <c r="Z66" s="40">
        <f t="shared" si="1"/>
        <v>4.666666666666667</v>
      </c>
      <c r="AA66" s="41">
        <v>3</v>
      </c>
      <c r="AB66" s="41"/>
      <c r="AC66" s="41"/>
      <c r="AD66" s="41"/>
      <c r="AE66" s="41"/>
      <c r="AF66" s="41"/>
      <c r="AG66" s="41"/>
      <c r="AH66" s="41"/>
      <c r="AI66" s="41"/>
      <c r="AJ66" s="41">
        <f t="shared" si="2"/>
        <v>3</v>
      </c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40"/>
      <c r="AW66" s="42">
        <v>1</v>
      </c>
      <c r="AX66" s="42">
        <v>5</v>
      </c>
      <c r="AY66" s="42"/>
      <c r="AZ66" s="42"/>
      <c r="BA66" s="42">
        <f t="shared" si="3"/>
        <v>3</v>
      </c>
      <c r="BB66" s="43"/>
      <c r="BC66" s="43"/>
      <c r="BD66" s="44"/>
      <c r="BE66" s="44"/>
      <c r="BF66" s="45"/>
      <c r="BG66" s="45"/>
      <c r="BH66" s="45"/>
      <c r="BI66" s="45" t="e">
        <f t="shared" ref="BI66:BI129" si="4">AVERAGE(BB66:BH66)</f>
        <v>#DIV/0!</v>
      </c>
    </row>
    <row r="67" spans="1:61" ht="16.5" customHeight="1">
      <c r="A67" s="50">
        <v>66</v>
      </c>
      <c r="B67" s="51" t="b">
        <v>0</v>
      </c>
      <c r="C67" s="37" t="s">
        <v>129</v>
      </c>
      <c r="D67" s="37"/>
      <c r="E67" s="38" t="s">
        <v>75</v>
      </c>
      <c r="F67" s="38" t="s">
        <v>63</v>
      </c>
      <c r="G67" s="38" t="s">
        <v>78</v>
      </c>
      <c r="H67" s="38">
        <v>2019</v>
      </c>
      <c r="I67" s="46" t="s">
        <v>69</v>
      </c>
      <c r="J67" s="39" t="s">
        <v>87</v>
      </c>
      <c r="K67" s="39"/>
      <c r="L67" s="39" t="s">
        <v>92</v>
      </c>
      <c r="M67" s="39"/>
      <c r="N67" s="39" t="s">
        <v>70</v>
      </c>
      <c r="O67" s="39"/>
      <c r="P67" s="39"/>
      <c r="Q67" s="40">
        <v>5</v>
      </c>
      <c r="R67" s="40">
        <v>5</v>
      </c>
      <c r="S67" s="40">
        <v>5</v>
      </c>
      <c r="T67" s="40">
        <v>5</v>
      </c>
      <c r="U67" s="40">
        <v>5</v>
      </c>
      <c r="V67" s="40">
        <v>5</v>
      </c>
      <c r="W67" s="40">
        <v>4</v>
      </c>
      <c r="X67" s="40">
        <v>5</v>
      </c>
      <c r="Y67" s="40">
        <v>5</v>
      </c>
      <c r="Z67" s="40">
        <f t="shared" ref="Z67:Z130" si="5">AVERAGE(Q67:Y67)</f>
        <v>4.8888888888888893</v>
      </c>
      <c r="AA67" s="41">
        <v>3</v>
      </c>
      <c r="AB67" s="41">
        <v>5</v>
      </c>
      <c r="AC67" s="41">
        <v>5</v>
      </c>
      <c r="AD67" s="41">
        <v>5</v>
      </c>
      <c r="AE67" s="41">
        <v>5</v>
      </c>
      <c r="AF67" s="41">
        <v>5</v>
      </c>
      <c r="AG67" s="41">
        <v>5</v>
      </c>
      <c r="AH67" s="41">
        <v>5</v>
      </c>
      <c r="AI67" s="41">
        <v>5</v>
      </c>
      <c r="AJ67" s="41">
        <f t="shared" ref="AJ67:AJ130" si="6">AVERAGE(AA67:AI67)</f>
        <v>4.7777777777777777</v>
      </c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40"/>
      <c r="AW67" s="42">
        <v>5</v>
      </c>
      <c r="AX67" s="42">
        <v>5</v>
      </c>
      <c r="AY67" s="42">
        <v>5</v>
      </c>
      <c r="AZ67" s="42"/>
      <c r="BA67" s="42">
        <f t="shared" ref="BA67:BA130" si="7">AVERAGE(AW67:AY67)</f>
        <v>5</v>
      </c>
      <c r="BB67" s="43">
        <v>5</v>
      </c>
      <c r="BC67" s="43"/>
      <c r="BD67" s="44"/>
      <c r="BE67" s="44"/>
      <c r="BF67" s="45">
        <v>5</v>
      </c>
      <c r="BG67" s="45">
        <v>5</v>
      </c>
      <c r="BH67" s="45">
        <v>5</v>
      </c>
      <c r="BI67" s="45">
        <f t="shared" si="4"/>
        <v>5</v>
      </c>
    </row>
    <row r="68" spans="1:61" ht="16.5" customHeight="1">
      <c r="A68" s="50">
        <v>67</v>
      </c>
      <c r="B68" s="51" t="b">
        <v>0</v>
      </c>
      <c r="C68" s="37" t="s">
        <v>129</v>
      </c>
      <c r="D68" s="37" t="s">
        <v>98</v>
      </c>
      <c r="E68" s="38" t="s">
        <v>75</v>
      </c>
      <c r="F68" s="38" t="s">
        <v>78</v>
      </c>
      <c r="G68" s="38" t="s">
        <v>78</v>
      </c>
      <c r="H68" s="38"/>
      <c r="I68" s="46" t="s">
        <v>69</v>
      </c>
      <c r="J68" s="39" t="s">
        <v>87</v>
      </c>
      <c r="K68" s="39" t="s">
        <v>65</v>
      </c>
      <c r="L68" s="39" t="s">
        <v>92</v>
      </c>
      <c r="M68" s="39" t="s">
        <v>70</v>
      </c>
      <c r="N68" s="39"/>
      <c r="O68" s="39" t="s">
        <v>70</v>
      </c>
      <c r="P68" s="39"/>
      <c r="Q68" s="40">
        <v>4</v>
      </c>
      <c r="R68" s="40">
        <v>4</v>
      </c>
      <c r="S68" s="40">
        <v>4</v>
      </c>
      <c r="T68" s="40">
        <v>3</v>
      </c>
      <c r="U68" s="40">
        <v>4</v>
      </c>
      <c r="V68" s="40">
        <v>4</v>
      </c>
      <c r="W68" s="40">
        <v>3</v>
      </c>
      <c r="X68" s="40">
        <v>4</v>
      </c>
      <c r="Y68" s="40">
        <v>4</v>
      </c>
      <c r="Z68" s="40">
        <f t="shared" si="5"/>
        <v>3.7777777777777777</v>
      </c>
      <c r="AA68" s="41">
        <v>4</v>
      </c>
      <c r="AB68" s="41">
        <v>4</v>
      </c>
      <c r="AC68" s="41">
        <v>4</v>
      </c>
      <c r="AD68" s="41">
        <v>4</v>
      </c>
      <c r="AE68" s="41">
        <v>4</v>
      </c>
      <c r="AF68" s="41">
        <v>4</v>
      </c>
      <c r="AG68" s="41">
        <v>4</v>
      </c>
      <c r="AH68" s="41">
        <v>4</v>
      </c>
      <c r="AI68" s="41">
        <v>4</v>
      </c>
      <c r="AJ68" s="41">
        <f t="shared" si="6"/>
        <v>4</v>
      </c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2">
        <v>3</v>
      </c>
      <c r="AX68" s="42">
        <v>3</v>
      </c>
      <c r="AY68" s="42">
        <v>3</v>
      </c>
      <c r="AZ68" s="42"/>
      <c r="BA68" s="42">
        <f t="shared" si="7"/>
        <v>3</v>
      </c>
      <c r="BB68" s="43">
        <v>4</v>
      </c>
      <c r="BC68" s="43"/>
      <c r="BD68" s="44"/>
      <c r="BE68" s="44"/>
      <c r="BF68" s="45">
        <v>5</v>
      </c>
      <c r="BG68" s="45">
        <v>5</v>
      </c>
      <c r="BH68" s="45">
        <v>5</v>
      </c>
      <c r="BI68" s="45">
        <f t="shared" si="4"/>
        <v>4.75</v>
      </c>
    </row>
    <row r="69" spans="1:61" ht="16.5" customHeight="1">
      <c r="A69" s="50">
        <v>68</v>
      </c>
      <c r="B69" s="51" t="b">
        <v>1</v>
      </c>
      <c r="C69" s="37" t="s">
        <v>114</v>
      </c>
      <c r="D69" s="37" t="s">
        <v>98</v>
      </c>
      <c r="E69" s="38" t="s">
        <v>72</v>
      </c>
      <c r="F69" s="38" t="s">
        <v>105</v>
      </c>
      <c r="G69" s="38" t="s">
        <v>78</v>
      </c>
      <c r="H69" s="53">
        <v>2018</v>
      </c>
      <c r="I69" s="46" t="s">
        <v>69</v>
      </c>
      <c r="J69" s="39" t="s">
        <v>87</v>
      </c>
      <c r="K69" s="39"/>
      <c r="L69" s="39">
        <v>2.5</v>
      </c>
      <c r="M69" s="39"/>
      <c r="N69" s="39"/>
      <c r="O69" s="39" t="s">
        <v>70</v>
      </c>
      <c r="P69" s="39"/>
      <c r="Q69" s="40">
        <v>5</v>
      </c>
      <c r="R69" s="40">
        <v>5</v>
      </c>
      <c r="S69" s="40">
        <v>5</v>
      </c>
      <c r="T69" s="40">
        <v>5</v>
      </c>
      <c r="U69" s="40">
        <v>5</v>
      </c>
      <c r="V69" s="40">
        <v>5</v>
      </c>
      <c r="W69" s="40">
        <v>5</v>
      </c>
      <c r="X69" s="40">
        <v>5</v>
      </c>
      <c r="Y69" s="40">
        <v>5</v>
      </c>
      <c r="Z69" s="40">
        <f t="shared" si="5"/>
        <v>5</v>
      </c>
      <c r="AA69" s="41">
        <v>5</v>
      </c>
      <c r="AB69" s="41">
        <v>5</v>
      </c>
      <c r="AC69" s="41">
        <v>5</v>
      </c>
      <c r="AD69" s="41">
        <v>5</v>
      </c>
      <c r="AE69" s="41">
        <v>5</v>
      </c>
      <c r="AF69" s="41">
        <v>5</v>
      </c>
      <c r="AG69" s="41">
        <v>5</v>
      </c>
      <c r="AH69" s="41">
        <v>5</v>
      </c>
      <c r="AI69" s="41">
        <v>5</v>
      </c>
      <c r="AJ69" s="41">
        <f t="shared" si="6"/>
        <v>5</v>
      </c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40"/>
      <c r="AW69" s="42">
        <v>5</v>
      </c>
      <c r="AX69" s="42">
        <v>5</v>
      </c>
      <c r="AY69" s="42">
        <v>5</v>
      </c>
      <c r="AZ69" s="42"/>
      <c r="BA69" s="42">
        <f t="shared" si="7"/>
        <v>5</v>
      </c>
      <c r="BB69" s="43">
        <v>5</v>
      </c>
      <c r="BC69" s="43"/>
      <c r="BD69" s="44"/>
      <c r="BE69" s="44"/>
      <c r="BF69" s="45">
        <v>5</v>
      </c>
      <c r="BG69" s="45">
        <v>5</v>
      </c>
      <c r="BH69" s="45">
        <v>5</v>
      </c>
      <c r="BI69" s="45">
        <f t="shared" si="4"/>
        <v>5</v>
      </c>
    </row>
    <row r="70" spans="1:61" ht="16.5" customHeight="1">
      <c r="A70" s="50">
        <v>69</v>
      </c>
      <c r="B70" s="51" t="b">
        <v>1</v>
      </c>
      <c r="C70" s="37" t="s">
        <v>114</v>
      </c>
      <c r="D70" s="37" t="s">
        <v>98</v>
      </c>
      <c r="E70" s="38" t="s">
        <v>96</v>
      </c>
      <c r="F70" s="38" t="s">
        <v>63</v>
      </c>
      <c r="G70" s="38" t="s">
        <v>78</v>
      </c>
      <c r="H70" s="38">
        <v>2019</v>
      </c>
      <c r="I70" s="46" t="s">
        <v>69</v>
      </c>
      <c r="J70" s="39" t="s">
        <v>87</v>
      </c>
      <c r="K70" s="39" t="s">
        <v>69</v>
      </c>
      <c r="L70" s="39">
        <v>3</v>
      </c>
      <c r="M70" s="39"/>
      <c r="N70" s="39"/>
      <c r="O70" s="39" t="s">
        <v>70</v>
      </c>
      <c r="P70" s="39"/>
      <c r="Q70" s="40">
        <v>5</v>
      </c>
      <c r="R70" s="40">
        <v>5</v>
      </c>
      <c r="S70" s="40">
        <v>5</v>
      </c>
      <c r="T70" s="40">
        <v>5</v>
      </c>
      <c r="U70" s="40">
        <v>5</v>
      </c>
      <c r="V70" s="40">
        <v>5</v>
      </c>
      <c r="W70" s="40">
        <v>5</v>
      </c>
      <c r="X70" s="40">
        <v>5</v>
      </c>
      <c r="Y70" s="40">
        <v>5</v>
      </c>
      <c r="Z70" s="40">
        <f t="shared" si="5"/>
        <v>5</v>
      </c>
      <c r="AA70" s="41">
        <v>5</v>
      </c>
      <c r="AB70" s="41">
        <v>5</v>
      </c>
      <c r="AC70" s="41">
        <v>5</v>
      </c>
      <c r="AD70" s="41">
        <v>5</v>
      </c>
      <c r="AE70" s="41">
        <v>5</v>
      </c>
      <c r="AF70" s="41">
        <v>5</v>
      </c>
      <c r="AG70" s="41">
        <v>5</v>
      </c>
      <c r="AH70" s="41">
        <v>5</v>
      </c>
      <c r="AI70" s="41">
        <v>5</v>
      </c>
      <c r="AJ70" s="41">
        <f t="shared" si="6"/>
        <v>5</v>
      </c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40"/>
      <c r="AW70" s="42">
        <v>5</v>
      </c>
      <c r="AX70" s="42">
        <v>5</v>
      </c>
      <c r="AY70" s="42">
        <v>5</v>
      </c>
      <c r="AZ70" s="42"/>
      <c r="BA70" s="42">
        <f t="shared" si="7"/>
        <v>5</v>
      </c>
      <c r="BB70" s="43">
        <v>5</v>
      </c>
      <c r="BC70" s="43"/>
      <c r="BD70" s="44"/>
      <c r="BE70" s="44"/>
      <c r="BF70" s="45">
        <v>5</v>
      </c>
      <c r="BG70" s="45">
        <v>5</v>
      </c>
      <c r="BH70" s="45">
        <v>5</v>
      </c>
      <c r="BI70" s="45">
        <f t="shared" si="4"/>
        <v>5</v>
      </c>
    </row>
    <row r="71" spans="1:61" ht="16.5" customHeight="1">
      <c r="A71" s="50">
        <v>70</v>
      </c>
      <c r="B71" s="51" t="b">
        <v>1</v>
      </c>
      <c r="C71" s="37" t="s">
        <v>114</v>
      </c>
      <c r="D71" s="37"/>
      <c r="E71" s="38" t="s">
        <v>131</v>
      </c>
      <c r="F71" s="38" t="s">
        <v>78</v>
      </c>
      <c r="G71" s="38" t="s">
        <v>64</v>
      </c>
      <c r="H71" s="38">
        <v>2021</v>
      </c>
      <c r="I71" s="39" t="s">
        <v>65</v>
      </c>
      <c r="J71" s="39" t="s">
        <v>87</v>
      </c>
      <c r="K71" s="39" t="s">
        <v>65</v>
      </c>
      <c r="L71" s="39">
        <v>3</v>
      </c>
      <c r="M71" s="39"/>
      <c r="N71" s="39"/>
      <c r="O71" s="39" t="s">
        <v>70</v>
      </c>
      <c r="P71" s="39"/>
      <c r="Q71" s="40">
        <v>5</v>
      </c>
      <c r="R71" s="40">
        <v>5</v>
      </c>
      <c r="S71" s="40">
        <v>5</v>
      </c>
      <c r="T71" s="40">
        <v>4</v>
      </c>
      <c r="U71" s="40">
        <v>4</v>
      </c>
      <c r="V71" s="40">
        <v>5</v>
      </c>
      <c r="W71" s="40">
        <v>4</v>
      </c>
      <c r="X71" s="40">
        <v>5</v>
      </c>
      <c r="Y71" s="40">
        <v>4</v>
      </c>
      <c r="Z71" s="40">
        <f t="shared" si="5"/>
        <v>4.5555555555555554</v>
      </c>
      <c r="AA71" s="41">
        <v>5</v>
      </c>
      <c r="AB71" s="41">
        <v>4</v>
      </c>
      <c r="AC71" s="41">
        <v>5</v>
      </c>
      <c r="AD71" s="41">
        <v>5</v>
      </c>
      <c r="AE71" s="41">
        <v>5</v>
      </c>
      <c r="AF71" s="41">
        <v>5</v>
      </c>
      <c r="AG71" s="41">
        <v>5</v>
      </c>
      <c r="AH71" s="41">
        <v>5</v>
      </c>
      <c r="AI71" s="41">
        <v>5</v>
      </c>
      <c r="AJ71" s="41">
        <f t="shared" si="6"/>
        <v>4.8888888888888893</v>
      </c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40">
        <v>5</v>
      </c>
      <c r="AW71" s="42">
        <v>5</v>
      </c>
      <c r="AX71" s="42">
        <v>5</v>
      </c>
      <c r="AY71" s="42">
        <v>5</v>
      </c>
      <c r="AZ71" s="42"/>
      <c r="BA71" s="42">
        <f t="shared" si="7"/>
        <v>5</v>
      </c>
      <c r="BB71" s="43">
        <v>5</v>
      </c>
      <c r="BC71" s="43"/>
      <c r="BD71" s="44"/>
      <c r="BE71" s="44"/>
      <c r="BF71" s="45">
        <v>5</v>
      </c>
      <c r="BG71" s="45">
        <v>5</v>
      </c>
      <c r="BH71" s="45">
        <v>5</v>
      </c>
      <c r="BI71" s="45">
        <f t="shared" si="4"/>
        <v>5</v>
      </c>
    </row>
    <row r="72" spans="1:61" ht="16.5" customHeight="1">
      <c r="A72" s="50">
        <v>71</v>
      </c>
      <c r="B72" s="51" t="b">
        <v>1</v>
      </c>
      <c r="C72" s="37" t="s">
        <v>114</v>
      </c>
      <c r="D72" s="37" t="s">
        <v>134</v>
      </c>
      <c r="E72" s="38" t="s">
        <v>135</v>
      </c>
      <c r="F72" s="38" t="s">
        <v>63</v>
      </c>
      <c r="G72" s="38" t="s">
        <v>78</v>
      </c>
      <c r="H72" s="38">
        <v>2016</v>
      </c>
      <c r="I72" s="46" t="s">
        <v>69</v>
      </c>
      <c r="J72" s="39" t="s">
        <v>87</v>
      </c>
      <c r="K72" s="39"/>
      <c r="L72" s="39">
        <v>2.5</v>
      </c>
      <c r="M72" s="39"/>
      <c r="N72" s="39"/>
      <c r="O72" s="39" t="s">
        <v>70</v>
      </c>
      <c r="P72" s="39"/>
      <c r="Q72" s="40">
        <v>5</v>
      </c>
      <c r="R72" s="40">
        <v>5</v>
      </c>
      <c r="S72" s="40">
        <v>5</v>
      </c>
      <c r="T72" s="40">
        <v>5</v>
      </c>
      <c r="U72" s="40">
        <v>5</v>
      </c>
      <c r="V72" s="40">
        <v>5</v>
      </c>
      <c r="W72" s="40">
        <v>5</v>
      </c>
      <c r="X72" s="40">
        <v>5</v>
      </c>
      <c r="Y72" s="40">
        <v>5</v>
      </c>
      <c r="Z72" s="40">
        <f t="shared" si="5"/>
        <v>5</v>
      </c>
      <c r="AA72" s="41">
        <v>5</v>
      </c>
      <c r="AB72" s="41">
        <v>4</v>
      </c>
      <c r="AC72" s="41">
        <v>5</v>
      </c>
      <c r="AD72" s="41">
        <v>3</v>
      </c>
      <c r="AE72" s="41">
        <v>4</v>
      </c>
      <c r="AF72" s="41">
        <v>5</v>
      </c>
      <c r="AG72" s="41">
        <v>5</v>
      </c>
      <c r="AH72" s="41">
        <v>5</v>
      </c>
      <c r="AI72" s="41">
        <v>5</v>
      </c>
      <c r="AJ72" s="41">
        <f t="shared" si="6"/>
        <v>4.5555555555555554</v>
      </c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40">
        <v>5</v>
      </c>
      <c r="AW72" s="42">
        <v>5</v>
      </c>
      <c r="AX72" s="42">
        <v>5</v>
      </c>
      <c r="AY72" s="42">
        <v>5</v>
      </c>
      <c r="AZ72" s="42"/>
      <c r="BA72" s="42">
        <f t="shared" si="7"/>
        <v>5</v>
      </c>
      <c r="BB72" s="43">
        <v>5</v>
      </c>
      <c r="BC72" s="43"/>
      <c r="BD72" s="44"/>
      <c r="BE72" s="44"/>
      <c r="BF72" s="45">
        <v>5</v>
      </c>
      <c r="BG72" s="45">
        <v>5</v>
      </c>
      <c r="BH72" s="45">
        <v>5</v>
      </c>
      <c r="BI72" s="45">
        <f t="shared" si="4"/>
        <v>5</v>
      </c>
    </row>
    <row r="73" spans="1:61" ht="16.5" customHeight="1">
      <c r="A73" s="50">
        <v>72</v>
      </c>
      <c r="B73" s="51" t="b">
        <v>1</v>
      </c>
      <c r="C73" s="37" t="s">
        <v>114</v>
      </c>
      <c r="D73" s="37" t="s">
        <v>134</v>
      </c>
      <c r="E73" s="38" t="s">
        <v>136</v>
      </c>
      <c r="F73" s="38" t="s">
        <v>105</v>
      </c>
      <c r="G73" s="38" t="s">
        <v>78</v>
      </c>
      <c r="H73" s="38">
        <v>2020</v>
      </c>
      <c r="I73" s="46" t="s">
        <v>69</v>
      </c>
      <c r="J73" s="39" t="s">
        <v>87</v>
      </c>
      <c r="K73" s="39"/>
      <c r="L73" s="39">
        <v>2.5</v>
      </c>
      <c r="M73" s="39"/>
      <c r="N73" s="39"/>
      <c r="O73" s="39" t="s">
        <v>70</v>
      </c>
      <c r="P73" s="39"/>
      <c r="Q73" s="40">
        <v>5</v>
      </c>
      <c r="R73" s="40">
        <v>5</v>
      </c>
      <c r="S73" s="40">
        <v>5</v>
      </c>
      <c r="T73" s="40">
        <v>4</v>
      </c>
      <c r="U73" s="40">
        <v>4</v>
      </c>
      <c r="V73" s="40">
        <v>5</v>
      </c>
      <c r="W73" s="40">
        <v>5</v>
      </c>
      <c r="X73" s="40">
        <v>4</v>
      </c>
      <c r="Y73" s="40">
        <v>4</v>
      </c>
      <c r="Z73" s="40">
        <f t="shared" si="5"/>
        <v>4.5555555555555554</v>
      </c>
      <c r="AA73" s="41">
        <v>4</v>
      </c>
      <c r="AB73" s="41">
        <v>4</v>
      </c>
      <c r="AC73" s="41">
        <v>4</v>
      </c>
      <c r="AD73" s="41">
        <v>4</v>
      </c>
      <c r="AE73" s="41">
        <v>4</v>
      </c>
      <c r="AF73" s="41">
        <v>5</v>
      </c>
      <c r="AG73" s="41">
        <v>4</v>
      </c>
      <c r="AH73" s="41">
        <v>4</v>
      </c>
      <c r="AI73" s="41">
        <v>2</v>
      </c>
      <c r="AJ73" s="41">
        <f t="shared" si="6"/>
        <v>3.8888888888888888</v>
      </c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40">
        <v>4</v>
      </c>
      <c r="AW73" s="42">
        <v>5</v>
      </c>
      <c r="AX73" s="42">
        <v>5</v>
      </c>
      <c r="AY73" s="42">
        <v>5</v>
      </c>
      <c r="AZ73" s="42"/>
      <c r="BA73" s="42">
        <f t="shared" si="7"/>
        <v>5</v>
      </c>
      <c r="BB73" s="43">
        <v>5</v>
      </c>
      <c r="BC73" s="43"/>
      <c r="BD73" s="44"/>
      <c r="BE73" s="44"/>
      <c r="BF73" s="45">
        <v>5</v>
      </c>
      <c r="BG73" s="45">
        <v>5</v>
      </c>
      <c r="BH73" s="45">
        <v>5</v>
      </c>
      <c r="BI73" s="45">
        <f t="shared" si="4"/>
        <v>5</v>
      </c>
    </row>
    <row r="74" spans="1:61" ht="16.5" customHeight="1">
      <c r="A74" s="50">
        <v>73</v>
      </c>
      <c r="B74" s="51" t="b">
        <v>1</v>
      </c>
      <c r="C74" s="37" t="s">
        <v>114</v>
      </c>
      <c r="D74" s="37"/>
      <c r="E74" s="38" t="s">
        <v>137</v>
      </c>
      <c r="F74" s="38" t="s">
        <v>63</v>
      </c>
      <c r="G74" s="38" t="s">
        <v>78</v>
      </c>
      <c r="H74" s="38">
        <v>2020</v>
      </c>
      <c r="I74" s="39" t="s">
        <v>65</v>
      </c>
      <c r="J74" s="39" t="s">
        <v>83</v>
      </c>
      <c r="K74" s="39" t="s">
        <v>69</v>
      </c>
      <c r="L74" s="39">
        <v>3</v>
      </c>
      <c r="M74" s="39"/>
      <c r="N74" s="39"/>
      <c r="O74" s="39" t="s">
        <v>70</v>
      </c>
      <c r="P74" s="39"/>
      <c r="Q74" s="40">
        <v>5</v>
      </c>
      <c r="R74" s="40">
        <v>5</v>
      </c>
      <c r="S74" s="40">
        <v>5</v>
      </c>
      <c r="T74" s="40">
        <v>4</v>
      </c>
      <c r="U74" s="40">
        <v>4</v>
      </c>
      <c r="V74" s="40">
        <v>5</v>
      </c>
      <c r="W74" s="40">
        <v>4</v>
      </c>
      <c r="X74" s="40">
        <v>5</v>
      </c>
      <c r="Y74" s="40">
        <v>5</v>
      </c>
      <c r="Z74" s="40">
        <f t="shared" si="5"/>
        <v>4.666666666666667</v>
      </c>
      <c r="AA74" s="41">
        <v>5</v>
      </c>
      <c r="AB74" s="41">
        <v>5</v>
      </c>
      <c r="AC74" s="41">
        <v>5</v>
      </c>
      <c r="AD74" s="41">
        <v>5</v>
      </c>
      <c r="AE74" s="41">
        <v>5</v>
      </c>
      <c r="AF74" s="41">
        <v>5</v>
      </c>
      <c r="AG74" s="41">
        <v>5</v>
      </c>
      <c r="AH74" s="41">
        <v>5</v>
      </c>
      <c r="AI74" s="41">
        <v>5</v>
      </c>
      <c r="AJ74" s="41">
        <f t="shared" si="6"/>
        <v>5</v>
      </c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40">
        <v>5</v>
      </c>
      <c r="AW74" s="42">
        <v>5</v>
      </c>
      <c r="AX74" s="42">
        <v>5</v>
      </c>
      <c r="AY74" s="42">
        <v>5</v>
      </c>
      <c r="AZ74" s="42"/>
      <c r="BA74" s="42">
        <f t="shared" si="7"/>
        <v>5</v>
      </c>
      <c r="BB74" s="43">
        <v>5</v>
      </c>
      <c r="BC74" s="43"/>
      <c r="BD74" s="44"/>
      <c r="BE74" s="44"/>
      <c r="BF74" s="45">
        <v>5</v>
      </c>
      <c r="BG74" s="45">
        <v>5</v>
      </c>
      <c r="BH74" s="45">
        <v>5</v>
      </c>
      <c r="BI74" s="45">
        <f t="shared" si="4"/>
        <v>5</v>
      </c>
    </row>
    <row r="75" spans="1:61" ht="16.5" customHeight="1">
      <c r="A75" s="50">
        <v>74</v>
      </c>
      <c r="B75" s="51" t="b">
        <v>1</v>
      </c>
      <c r="C75" s="37" t="s">
        <v>114</v>
      </c>
      <c r="D75" s="37"/>
      <c r="E75" s="38" t="s">
        <v>75</v>
      </c>
      <c r="F75" s="38" t="s">
        <v>78</v>
      </c>
      <c r="G75" s="38" t="s">
        <v>78</v>
      </c>
      <c r="H75" s="38">
        <v>2021</v>
      </c>
      <c r="I75" s="46" t="s">
        <v>69</v>
      </c>
      <c r="J75" s="39" t="s">
        <v>87</v>
      </c>
      <c r="K75" s="39" t="s">
        <v>69</v>
      </c>
      <c r="L75" s="39">
        <v>3</v>
      </c>
      <c r="M75" s="39"/>
      <c r="N75" s="39"/>
      <c r="O75" s="39" t="s">
        <v>70</v>
      </c>
      <c r="P75" s="39" t="s">
        <v>70</v>
      </c>
      <c r="Q75" s="40">
        <v>4</v>
      </c>
      <c r="R75" s="40">
        <v>4</v>
      </c>
      <c r="S75" s="40">
        <v>4</v>
      </c>
      <c r="T75" s="40">
        <v>4</v>
      </c>
      <c r="U75" s="40">
        <v>4</v>
      </c>
      <c r="V75" s="40">
        <v>4</v>
      </c>
      <c r="W75" s="40">
        <v>3</v>
      </c>
      <c r="X75" s="40">
        <v>4</v>
      </c>
      <c r="Y75" s="40">
        <v>3</v>
      </c>
      <c r="Z75" s="40">
        <f t="shared" si="5"/>
        <v>3.7777777777777777</v>
      </c>
      <c r="AA75" s="41">
        <v>5</v>
      </c>
      <c r="AB75" s="41">
        <v>5</v>
      </c>
      <c r="AC75" s="41">
        <v>5</v>
      </c>
      <c r="AD75" s="41">
        <v>5</v>
      </c>
      <c r="AE75" s="41">
        <v>5</v>
      </c>
      <c r="AF75" s="41">
        <v>5</v>
      </c>
      <c r="AG75" s="41">
        <v>5</v>
      </c>
      <c r="AH75" s="41">
        <v>5</v>
      </c>
      <c r="AI75" s="41">
        <v>5</v>
      </c>
      <c r="AJ75" s="41">
        <f t="shared" si="6"/>
        <v>5</v>
      </c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40">
        <v>5</v>
      </c>
      <c r="AW75" s="42">
        <v>5</v>
      </c>
      <c r="AX75" s="42">
        <v>5</v>
      </c>
      <c r="AY75" s="42">
        <v>5</v>
      </c>
      <c r="AZ75" s="42"/>
      <c r="BA75" s="42">
        <f t="shared" si="7"/>
        <v>5</v>
      </c>
      <c r="BB75" s="43">
        <v>5</v>
      </c>
      <c r="BC75" s="43"/>
      <c r="BD75" s="44"/>
      <c r="BE75" s="44"/>
      <c r="BF75" s="45">
        <v>5</v>
      </c>
      <c r="BG75" s="45">
        <v>1</v>
      </c>
      <c r="BH75" s="45">
        <v>5</v>
      </c>
      <c r="BI75" s="45">
        <f t="shared" si="4"/>
        <v>4</v>
      </c>
    </row>
    <row r="76" spans="1:61" ht="16.5" customHeight="1">
      <c r="A76" s="50">
        <v>75</v>
      </c>
      <c r="B76" s="51" t="b">
        <v>0</v>
      </c>
      <c r="C76" s="37" t="s">
        <v>114</v>
      </c>
      <c r="D76" s="37" t="s">
        <v>115</v>
      </c>
      <c r="E76" s="38" t="s">
        <v>75</v>
      </c>
      <c r="F76" s="38" t="s">
        <v>105</v>
      </c>
      <c r="G76" s="38" t="s">
        <v>78</v>
      </c>
      <c r="H76" s="38">
        <v>2007</v>
      </c>
      <c r="I76" s="39" t="s">
        <v>65</v>
      </c>
      <c r="J76" s="39" t="s">
        <v>83</v>
      </c>
      <c r="K76" s="39"/>
      <c r="L76" s="39">
        <v>2.5</v>
      </c>
      <c r="M76" s="39"/>
      <c r="N76" s="39"/>
      <c r="O76" s="39" t="s">
        <v>70</v>
      </c>
      <c r="P76" s="39"/>
      <c r="Q76" s="40">
        <v>5</v>
      </c>
      <c r="R76" s="40">
        <v>3</v>
      </c>
      <c r="S76" s="40">
        <v>3</v>
      </c>
      <c r="T76" s="40">
        <v>3</v>
      </c>
      <c r="U76" s="40">
        <v>3</v>
      </c>
      <c r="V76" s="40">
        <v>3</v>
      </c>
      <c r="W76" s="40">
        <v>3</v>
      </c>
      <c r="X76" s="40">
        <v>3</v>
      </c>
      <c r="Y76" s="40">
        <v>3</v>
      </c>
      <c r="Z76" s="40">
        <f t="shared" si="5"/>
        <v>3.2222222222222223</v>
      </c>
      <c r="AA76" s="41">
        <v>5</v>
      </c>
      <c r="AB76" s="41">
        <v>1</v>
      </c>
      <c r="AC76" s="41">
        <v>1</v>
      </c>
      <c r="AD76" s="41">
        <v>1</v>
      </c>
      <c r="AE76" s="41">
        <v>1</v>
      </c>
      <c r="AF76" s="41">
        <v>1</v>
      </c>
      <c r="AG76" s="41">
        <v>1</v>
      </c>
      <c r="AH76" s="41">
        <v>1</v>
      </c>
      <c r="AI76" s="41">
        <v>1</v>
      </c>
      <c r="AJ76" s="41">
        <f t="shared" si="6"/>
        <v>1.4444444444444444</v>
      </c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40">
        <v>1</v>
      </c>
      <c r="AW76" s="42">
        <v>4</v>
      </c>
      <c r="AX76" s="42">
        <v>4</v>
      </c>
      <c r="AY76" s="42">
        <v>4</v>
      </c>
      <c r="AZ76" s="42"/>
      <c r="BA76" s="42">
        <f t="shared" si="7"/>
        <v>4</v>
      </c>
      <c r="BB76" s="43">
        <v>4</v>
      </c>
      <c r="BC76" s="43"/>
      <c r="BD76" s="44">
        <v>4</v>
      </c>
      <c r="BE76" s="44"/>
      <c r="BF76" s="45">
        <v>4</v>
      </c>
      <c r="BG76" s="45">
        <v>4</v>
      </c>
      <c r="BH76" s="45">
        <v>4</v>
      </c>
      <c r="BI76" s="45">
        <f t="shared" si="4"/>
        <v>4</v>
      </c>
    </row>
    <row r="77" spans="1:61" ht="16.5" customHeight="1">
      <c r="A77" s="50">
        <v>76</v>
      </c>
      <c r="B77" s="51" t="b">
        <v>1</v>
      </c>
      <c r="C77" s="37" t="s">
        <v>114</v>
      </c>
      <c r="D77" s="37" t="s">
        <v>115</v>
      </c>
      <c r="E77" s="38" t="s">
        <v>131</v>
      </c>
      <c r="F77" s="38" t="s">
        <v>78</v>
      </c>
      <c r="G77" s="38" t="s">
        <v>78</v>
      </c>
      <c r="H77" s="38">
        <v>2019</v>
      </c>
      <c r="I77" s="39" t="s">
        <v>65</v>
      </c>
      <c r="J77" s="39" t="s">
        <v>83</v>
      </c>
      <c r="K77" s="39"/>
      <c r="L77" s="39">
        <v>2.5</v>
      </c>
      <c r="M77" s="39"/>
      <c r="N77" s="39"/>
      <c r="O77" s="39" t="s">
        <v>70</v>
      </c>
      <c r="P77" s="39"/>
      <c r="Q77" s="40">
        <v>5</v>
      </c>
      <c r="R77" s="40">
        <v>5</v>
      </c>
      <c r="S77" s="40">
        <v>5</v>
      </c>
      <c r="T77" s="40">
        <v>5</v>
      </c>
      <c r="U77" s="40">
        <v>5</v>
      </c>
      <c r="V77" s="40">
        <v>5</v>
      </c>
      <c r="W77" s="40">
        <v>5</v>
      </c>
      <c r="X77" s="40">
        <v>5</v>
      </c>
      <c r="Y77" s="40">
        <v>5</v>
      </c>
      <c r="Z77" s="40">
        <f t="shared" si="5"/>
        <v>5</v>
      </c>
      <c r="AA77" s="41">
        <v>5</v>
      </c>
      <c r="AB77" s="41">
        <v>5</v>
      </c>
      <c r="AC77" s="41">
        <v>5</v>
      </c>
      <c r="AD77" s="41">
        <v>5</v>
      </c>
      <c r="AE77" s="41">
        <v>5</v>
      </c>
      <c r="AF77" s="41">
        <v>5</v>
      </c>
      <c r="AG77" s="41">
        <v>5</v>
      </c>
      <c r="AH77" s="41">
        <v>5</v>
      </c>
      <c r="AI77" s="41">
        <v>5</v>
      </c>
      <c r="AJ77" s="41">
        <f t="shared" si="6"/>
        <v>5</v>
      </c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40">
        <v>5</v>
      </c>
      <c r="AW77" s="42">
        <v>5</v>
      </c>
      <c r="AX77" s="42">
        <v>5</v>
      </c>
      <c r="AY77" s="42">
        <v>5</v>
      </c>
      <c r="AZ77" s="42"/>
      <c r="BA77" s="42">
        <f t="shared" si="7"/>
        <v>5</v>
      </c>
      <c r="BB77" s="43">
        <v>5</v>
      </c>
      <c r="BC77" s="43"/>
      <c r="BD77" s="44"/>
      <c r="BE77" s="44"/>
      <c r="BF77" s="45">
        <v>5</v>
      </c>
      <c r="BG77" s="45">
        <v>5</v>
      </c>
      <c r="BH77" s="45">
        <v>5</v>
      </c>
      <c r="BI77" s="45">
        <f t="shared" si="4"/>
        <v>5</v>
      </c>
    </row>
    <row r="78" spans="1:61" ht="16.5" customHeight="1">
      <c r="A78" s="50">
        <v>77</v>
      </c>
      <c r="B78" s="51" t="b">
        <v>1</v>
      </c>
      <c r="C78" s="37" t="s">
        <v>114</v>
      </c>
      <c r="D78" s="37"/>
      <c r="E78" s="38" t="s">
        <v>96</v>
      </c>
      <c r="F78" s="38" t="s">
        <v>68</v>
      </c>
      <c r="G78" s="38" t="s">
        <v>64</v>
      </c>
      <c r="H78" s="38">
        <v>2021</v>
      </c>
      <c r="I78" s="39" t="s">
        <v>65</v>
      </c>
      <c r="J78" s="39" t="s">
        <v>83</v>
      </c>
      <c r="K78" s="39" t="s">
        <v>69</v>
      </c>
      <c r="L78" s="39">
        <v>3</v>
      </c>
      <c r="M78" s="39"/>
      <c r="N78" s="39"/>
      <c r="O78" s="39" t="s">
        <v>70</v>
      </c>
      <c r="P78" s="39"/>
      <c r="Q78" s="40">
        <v>5</v>
      </c>
      <c r="R78" s="40">
        <v>5</v>
      </c>
      <c r="S78" s="40">
        <v>5</v>
      </c>
      <c r="T78" s="40">
        <v>5</v>
      </c>
      <c r="U78" s="40">
        <v>5</v>
      </c>
      <c r="V78" s="40">
        <v>5</v>
      </c>
      <c r="W78" s="40">
        <v>5</v>
      </c>
      <c r="X78" s="40">
        <v>5</v>
      </c>
      <c r="Y78" s="40">
        <v>5</v>
      </c>
      <c r="Z78" s="40">
        <f t="shared" si="5"/>
        <v>5</v>
      </c>
      <c r="AA78" s="41">
        <v>5</v>
      </c>
      <c r="AB78" s="41">
        <v>5</v>
      </c>
      <c r="AC78" s="41">
        <v>5</v>
      </c>
      <c r="AD78" s="41">
        <v>5</v>
      </c>
      <c r="AE78" s="41">
        <v>5</v>
      </c>
      <c r="AF78" s="41">
        <v>5</v>
      </c>
      <c r="AG78" s="41">
        <v>5</v>
      </c>
      <c r="AH78" s="41">
        <v>5</v>
      </c>
      <c r="AI78" s="41">
        <v>5</v>
      </c>
      <c r="AJ78" s="41">
        <f t="shared" si="6"/>
        <v>5</v>
      </c>
      <c r="AK78" s="40"/>
      <c r="AL78" s="40"/>
      <c r="AM78" s="40"/>
      <c r="AN78" s="40"/>
      <c r="AO78" s="40"/>
      <c r="AP78" s="40"/>
      <c r="AQ78" s="40"/>
      <c r="AR78" s="40"/>
      <c r="AS78" s="40"/>
      <c r="AT78" s="40"/>
      <c r="AU78" s="40"/>
      <c r="AV78" s="40">
        <v>5</v>
      </c>
      <c r="AW78" s="42">
        <v>5</v>
      </c>
      <c r="AX78" s="42">
        <v>5</v>
      </c>
      <c r="AY78" s="42">
        <v>5</v>
      </c>
      <c r="AZ78" s="42"/>
      <c r="BA78" s="42">
        <f t="shared" si="7"/>
        <v>5</v>
      </c>
      <c r="BB78" s="43">
        <v>5</v>
      </c>
      <c r="BC78" s="43"/>
      <c r="BD78" s="44"/>
      <c r="BE78" s="44"/>
      <c r="BF78" s="45">
        <v>5</v>
      </c>
      <c r="BG78" s="45">
        <v>5</v>
      </c>
      <c r="BH78" s="45">
        <v>5</v>
      </c>
      <c r="BI78" s="45">
        <f t="shared" si="4"/>
        <v>5</v>
      </c>
    </row>
    <row r="79" spans="1:61" ht="16.5" customHeight="1">
      <c r="A79" s="50">
        <v>78</v>
      </c>
      <c r="B79" s="51" t="b">
        <v>1</v>
      </c>
      <c r="C79" s="37" t="s">
        <v>114</v>
      </c>
      <c r="D79" s="37" t="s">
        <v>85</v>
      </c>
      <c r="E79" s="38" t="s">
        <v>96</v>
      </c>
      <c r="F79" s="38" t="s">
        <v>113</v>
      </c>
      <c r="G79" s="38" t="s">
        <v>78</v>
      </c>
      <c r="H79" s="38">
        <v>2017</v>
      </c>
      <c r="I79" s="39" t="s">
        <v>65</v>
      </c>
      <c r="J79" s="39" t="s">
        <v>87</v>
      </c>
      <c r="K79" s="39" t="s">
        <v>65</v>
      </c>
      <c r="L79" s="39">
        <v>3</v>
      </c>
      <c r="M79" s="39"/>
      <c r="N79" s="39"/>
      <c r="O79" s="39"/>
      <c r="P79" s="39"/>
      <c r="Q79" s="40">
        <v>5</v>
      </c>
      <c r="R79" s="40">
        <v>5</v>
      </c>
      <c r="S79" s="40">
        <v>5</v>
      </c>
      <c r="T79" s="40">
        <v>5</v>
      </c>
      <c r="U79" s="40">
        <v>5</v>
      </c>
      <c r="V79" s="40">
        <v>5</v>
      </c>
      <c r="W79" s="40">
        <v>5</v>
      </c>
      <c r="X79" s="40">
        <v>5</v>
      </c>
      <c r="Y79" s="40">
        <v>5</v>
      </c>
      <c r="Z79" s="40">
        <f t="shared" si="5"/>
        <v>5</v>
      </c>
      <c r="AA79" s="41">
        <v>5</v>
      </c>
      <c r="AB79" s="41">
        <v>5</v>
      </c>
      <c r="AC79" s="41">
        <v>5</v>
      </c>
      <c r="AD79" s="41">
        <v>5</v>
      </c>
      <c r="AE79" s="41">
        <v>5</v>
      </c>
      <c r="AF79" s="41">
        <v>5</v>
      </c>
      <c r="AG79" s="41">
        <v>5</v>
      </c>
      <c r="AH79" s="41">
        <v>5</v>
      </c>
      <c r="AI79" s="41">
        <v>5</v>
      </c>
      <c r="AJ79" s="41">
        <f t="shared" si="6"/>
        <v>5</v>
      </c>
      <c r="AK79" s="40"/>
      <c r="AL79" s="40"/>
      <c r="AM79" s="40"/>
      <c r="AN79" s="40"/>
      <c r="AO79" s="40"/>
      <c r="AP79" s="40"/>
      <c r="AQ79" s="40"/>
      <c r="AR79" s="40"/>
      <c r="AS79" s="40"/>
      <c r="AT79" s="40"/>
      <c r="AU79" s="40"/>
      <c r="AV79" s="40">
        <v>5</v>
      </c>
      <c r="AW79" s="42">
        <v>5</v>
      </c>
      <c r="AX79" s="42">
        <v>5</v>
      </c>
      <c r="AY79" s="42">
        <v>5</v>
      </c>
      <c r="AZ79" s="42"/>
      <c r="BA79" s="42">
        <f t="shared" si="7"/>
        <v>5</v>
      </c>
      <c r="BB79" s="43">
        <v>5</v>
      </c>
      <c r="BC79" s="43"/>
      <c r="BD79" s="44"/>
      <c r="BE79" s="44"/>
      <c r="BF79" s="45">
        <v>5</v>
      </c>
      <c r="BG79" s="45">
        <v>5</v>
      </c>
      <c r="BH79" s="45">
        <v>5</v>
      </c>
      <c r="BI79" s="45">
        <f t="shared" si="4"/>
        <v>5</v>
      </c>
    </row>
    <row r="80" spans="1:61" ht="16.5" customHeight="1">
      <c r="A80" s="50">
        <v>79</v>
      </c>
      <c r="B80" s="51" t="b">
        <v>1</v>
      </c>
      <c r="C80" s="37" t="s">
        <v>114</v>
      </c>
      <c r="D80" s="37" t="s">
        <v>98</v>
      </c>
      <c r="E80" s="38" t="s">
        <v>75</v>
      </c>
      <c r="F80" s="38" t="s">
        <v>78</v>
      </c>
      <c r="G80" s="38" t="s">
        <v>64</v>
      </c>
      <c r="H80" s="38">
        <v>2019</v>
      </c>
      <c r="I80" s="46" t="s">
        <v>69</v>
      </c>
      <c r="J80" s="39" t="s">
        <v>87</v>
      </c>
      <c r="K80" s="39"/>
      <c r="L80" s="39">
        <v>2.5</v>
      </c>
      <c r="M80" s="39"/>
      <c r="N80" s="39"/>
      <c r="O80" s="39" t="s">
        <v>70</v>
      </c>
      <c r="P80" s="39"/>
      <c r="Q80" s="40">
        <v>4</v>
      </c>
      <c r="R80" s="40">
        <v>4</v>
      </c>
      <c r="S80" s="40">
        <v>4</v>
      </c>
      <c r="T80" s="40">
        <v>4</v>
      </c>
      <c r="U80" s="40">
        <v>4</v>
      </c>
      <c r="V80" s="40">
        <v>4</v>
      </c>
      <c r="W80" s="40">
        <v>4</v>
      </c>
      <c r="X80" s="40">
        <v>4</v>
      </c>
      <c r="Y80" s="40">
        <v>4</v>
      </c>
      <c r="Z80" s="40">
        <f t="shared" si="5"/>
        <v>4</v>
      </c>
      <c r="AA80" s="41">
        <v>4</v>
      </c>
      <c r="AB80" s="41">
        <v>3</v>
      </c>
      <c r="AC80" s="41">
        <v>3</v>
      </c>
      <c r="AD80" s="41">
        <v>3</v>
      </c>
      <c r="AE80" s="41">
        <v>3</v>
      </c>
      <c r="AF80" s="41">
        <v>3</v>
      </c>
      <c r="AG80" s="41">
        <v>3</v>
      </c>
      <c r="AH80" s="41">
        <v>3</v>
      </c>
      <c r="AI80" s="41">
        <v>3</v>
      </c>
      <c r="AJ80" s="41">
        <f t="shared" si="6"/>
        <v>3.1111111111111112</v>
      </c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>
        <v>3</v>
      </c>
      <c r="AW80" s="42">
        <v>5</v>
      </c>
      <c r="AX80" s="42">
        <v>5</v>
      </c>
      <c r="AY80" s="42">
        <v>5</v>
      </c>
      <c r="AZ80" s="42"/>
      <c r="BA80" s="42">
        <f t="shared" si="7"/>
        <v>5</v>
      </c>
      <c r="BB80" s="43">
        <v>5</v>
      </c>
      <c r="BC80" s="43"/>
      <c r="BD80" s="44"/>
      <c r="BE80" s="44"/>
      <c r="BF80" s="45">
        <v>5</v>
      </c>
      <c r="BG80" s="45">
        <v>5</v>
      </c>
      <c r="BH80" s="45">
        <v>5</v>
      </c>
      <c r="BI80" s="45">
        <f t="shared" si="4"/>
        <v>5</v>
      </c>
    </row>
    <row r="81" spans="1:61" ht="16.5" customHeight="1">
      <c r="A81" s="50">
        <v>80</v>
      </c>
      <c r="B81" s="51" t="b">
        <v>1</v>
      </c>
      <c r="C81" s="37" t="s">
        <v>138</v>
      </c>
      <c r="D81" s="37" t="s">
        <v>98</v>
      </c>
      <c r="E81" s="38" t="s">
        <v>128</v>
      </c>
      <c r="F81" s="38" t="s">
        <v>78</v>
      </c>
      <c r="G81" s="38" t="s">
        <v>78</v>
      </c>
      <c r="H81" s="38"/>
      <c r="I81" s="46" t="s">
        <v>69</v>
      </c>
      <c r="J81" s="39" t="s">
        <v>87</v>
      </c>
      <c r="K81" s="39" t="s">
        <v>69</v>
      </c>
      <c r="L81" s="39">
        <v>3</v>
      </c>
      <c r="M81" s="39"/>
      <c r="N81" s="39"/>
      <c r="O81" s="39" t="s">
        <v>70</v>
      </c>
      <c r="P81" s="39"/>
      <c r="Q81" s="40">
        <v>4</v>
      </c>
      <c r="R81" s="40">
        <v>4</v>
      </c>
      <c r="S81" s="40">
        <v>4</v>
      </c>
      <c r="T81" s="40">
        <v>4</v>
      </c>
      <c r="U81" s="40">
        <v>4</v>
      </c>
      <c r="V81" s="40">
        <v>4</v>
      </c>
      <c r="W81" s="40">
        <v>4</v>
      </c>
      <c r="X81" s="40">
        <v>4</v>
      </c>
      <c r="Y81" s="40">
        <v>4</v>
      </c>
      <c r="Z81" s="40">
        <f t="shared" si="5"/>
        <v>4</v>
      </c>
      <c r="AA81" s="41">
        <v>5</v>
      </c>
      <c r="AB81" s="41">
        <v>5</v>
      </c>
      <c r="AC81" s="41">
        <v>5</v>
      </c>
      <c r="AD81" s="41">
        <v>5</v>
      </c>
      <c r="AE81" s="41">
        <v>5</v>
      </c>
      <c r="AF81" s="41">
        <v>5</v>
      </c>
      <c r="AG81" s="41">
        <v>5</v>
      </c>
      <c r="AH81" s="41">
        <v>5</v>
      </c>
      <c r="AI81" s="41">
        <v>5</v>
      </c>
      <c r="AJ81" s="41">
        <f t="shared" si="6"/>
        <v>5</v>
      </c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>
        <v>5</v>
      </c>
      <c r="AW81" s="42">
        <v>5</v>
      </c>
      <c r="AX81" s="42">
        <v>5</v>
      </c>
      <c r="AY81" s="42">
        <v>5</v>
      </c>
      <c r="AZ81" s="42"/>
      <c r="BA81" s="42">
        <f t="shared" si="7"/>
        <v>5</v>
      </c>
      <c r="BB81" s="43">
        <v>5</v>
      </c>
      <c r="BC81" s="43"/>
      <c r="BD81" s="44">
        <v>5</v>
      </c>
      <c r="BE81" s="44"/>
      <c r="BF81" s="45">
        <v>5</v>
      </c>
      <c r="BG81" s="45"/>
      <c r="BH81" s="45">
        <v>5</v>
      </c>
      <c r="BI81" s="45">
        <f t="shared" si="4"/>
        <v>5</v>
      </c>
    </row>
    <row r="82" spans="1:61" ht="16.5" customHeight="1">
      <c r="A82" s="50">
        <v>81</v>
      </c>
      <c r="B82" s="51" t="b">
        <v>1</v>
      </c>
      <c r="C82" s="37" t="s">
        <v>138</v>
      </c>
      <c r="D82" s="37" t="s">
        <v>98</v>
      </c>
      <c r="E82" s="38" t="s">
        <v>86</v>
      </c>
      <c r="F82" s="38" t="s">
        <v>63</v>
      </c>
      <c r="G82" s="38" t="s">
        <v>78</v>
      </c>
      <c r="H82" s="38"/>
      <c r="I82" s="39" t="s">
        <v>65</v>
      </c>
      <c r="J82" s="39" t="s">
        <v>87</v>
      </c>
      <c r="K82" s="39" t="s">
        <v>65</v>
      </c>
      <c r="L82" s="39">
        <v>3</v>
      </c>
      <c r="M82" s="39"/>
      <c r="N82" s="39"/>
      <c r="O82" s="39" t="s">
        <v>70</v>
      </c>
      <c r="P82" s="39" t="s">
        <v>70</v>
      </c>
      <c r="Q82" s="40">
        <v>4</v>
      </c>
      <c r="R82" s="40">
        <v>4</v>
      </c>
      <c r="S82" s="40">
        <v>4</v>
      </c>
      <c r="T82" s="40">
        <v>4</v>
      </c>
      <c r="U82" s="40">
        <v>4</v>
      </c>
      <c r="V82" s="40">
        <v>4</v>
      </c>
      <c r="W82" s="40">
        <v>4</v>
      </c>
      <c r="X82" s="40">
        <v>4</v>
      </c>
      <c r="Y82" s="40">
        <v>4</v>
      </c>
      <c r="Z82" s="40">
        <f t="shared" si="5"/>
        <v>4</v>
      </c>
      <c r="AA82" s="41">
        <v>5</v>
      </c>
      <c r="AB82" s="41">
        <v>5</v>
      </c>
      <c r="AC82" s="41">
        <v>5</v>
      </c>
      <c r="AD82" s="41">
        <v>5</v>
      </c>
      <c r="AE82" s="41">
        <v>5</v>
      </c>
      <c r="AF82" s="41">
        <v>5</v>
      </c>
      <c r="AG82" s="41">
        <v>5</v>
      </c>
      <c r="AH82" s="41">
        <v>5</v>
      </c>
      <c r="AI82" s="41">
        <v>5</v>
      </c>
      <c r="AJ82" s="41">
        <f t="shared" si="6"/>
        <v>5</v>
      </c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0">
        <v>4</v>
      </c>
      <c r="AW82" s="42">
        <v>5</v>
      </c>
      <c r="AX82" s="42">
        <v>4</v>
      </c>
      <c r="AY82" s="42">
        <v>5</v>
      </c>
      <c r="AZ82" s="42"/>
      <c r="BA82" s="42">
        <f t="shared" si="7"/>
        <v>4.666666666666667</v>
      </c>
      <c r="BB82" s="43">
        <v>5</v>
      </c>
      <c r="BC82" s="43"/>
      <c r="BD82" s="44">
        <v>5</v>
      </c>
      <c r="BE82" s="44"/>
      <c r="BF82" s="45">
        <v>5</v>
      </c>
      <c r="BG82" s="45"/>
      <c r="BH82" s="45">
        <v>5</v>
      </c>
      <c r="BI82" s="45">
        <f t="shared" si="4"/>
        <v>5</v>
      </c>
    </row>
    <row r="83" spans="1:61" ht="16.5" customHeight="1">
      <c r="A83" s="50">
        <v>82</v>
      </c>
      <c r="B83" s="51" t="b">
        <v>1</v>
      </c>
      <c r="C83" s="37" t="s">
        <v>138</v>
      </c>
      <c r="D83" s="37" t="s">
        <v>98</v>
      </c>
      <c r="E83" s="38" t="s">
        <v>82</v>
      </c>
      <c r="F83" s="38" t="s">
        <v>78</v>
      </c>
      <c r="G83" s="38" t="s">
        <v>78</v>
      </c>
      <c r="H83" s="38"/>
      <c r="I83" s="39" t="s">
        <v>65</v>
      </c>
      <c r="J83" s="39" t="s">
        <v>87</v>
      </c>
      <c r="K83" s="39"/>
      <c r="L83" s="39">
        <v>2.5</v>
      </c>
      <c r="M83" s="39"/>
      <c r="N83" s="39"/>
      <c r="O83" s="39" t="s">
        <v>70</v>
      </c>
      <c r="P83" s="39"/>
      <c r="Q83" s="40">
        <v>4</v>
      </c>
      <c r="R83" s="40">
        <v>4</v>
      </c>
      <c r="S83" s="40">
        <v>4</v>
      </c>
      <c r="T83" s="40">
        <v>4</v>
      </c>
      <c r="U83" s="40">
        <v>4</v>
      </c>
      <c r="V83" s="40">
        <v>4</v>
      </c>
      <c r="W83" s="40">
        <v>4</v>
      </c>
      <c r="X83" s="40">
        <v>4</v>
      </c>
      <c r="Y83" s="40">
        <v>4</v>
      </c>
      <c r="Z83" s="40">
        <f t="shared" si="5"/>
        <v>4</v>
      </c>
      <c r="AA83" s="41">
        <v>5</v>
      </c>
      <c r="AB83" s="41">
        <v>5</v>
      </c>
      <c r="AC83" s="41">
        <v>5</v>
      </c>
      <c r="AD83" s="41">
        <v>4</v>
      </c>
      <c r="AE83" s="41">
        <v>4</v>
      </c>
      <c r="AF83" s="41">
        <v>5</v>
      </c>
      <c r="AG83" s="41">
        <v>5</v>
      </c>
      <c r="AH83" s="41">
        <v>5</v>
      </c>
      <c r="AI83" s="41">
        <v>2</v>
      </c>
      <c r="AJ83" s="41">
        <f t="shared" si="6"/>
        <v>4.4444444444444446</v>
      </c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>
        <v>5</v>
      </c>
      <c r="AW83" s="42">
        <v>5</v>
      </c>
      <c r="AX83" s="42"/>
      <c r="AY83" s="42"/>
      <c r="AZ83" s="42"/>
      <c r="BA83" s="42">
        <f t="shared" si="7"/>
        <v>5</v>
      </c>
      <c r="BB83" s="43"/>
      <c r="BC83" s="43"/>
      <c r="BD83" s="44"/>
      <c r="BE83" s="44"/>
      <c r="BF83" s="45">
        <v>5</v>
      </c>
      <c r="BG83" s="45">
        <v>5</v>
      </c>
      <c r="BH83" s="45">
        <v>5</v>
      </c>
      <c r="BI83" s="45">
        <f t="shared" si="4"/>
        <v>5</v>
      </c>
    </row>
    <row r="84" spans="1:61" ht="16.5" customHeight="1">
      <c r="A84" s="50">
        <v>83</v>
      </c>
      <c r="B84" s="51" t="b">
        <v>1</v>
      </c>
      <c r="C84" s="37" t="s">
        <v>138</v>
      </c>
      <c r="D84" s="37" t="s">
        <v>139</v>
      </c>
      <c r="E84" s="38" t="s">
        <v>86</v>
      </c>
      <c r="F84" s="38" t="s">
        <v>63</v>
      </c>
      <c r="G84" s="38" t="s">
        <v>78</v>
      </c>
      <c r="H84" s="38"/>
      <c r="I84" s="39" t="s">
        <v>65</v>
      </c>
      <c r="J84" s="39" t="s">
        <v>65</v>
      </c>
      <c r="K84" s="39" t="s">
        <v>69</v>
      </c>
      <c r="L84" s="39">
        <v>3</v>
      </c>
      <c r="M84" s="39"/>
      <c r="N84" s="39" t="s">
        <v>70</v>
      </c>
      <c r="O84" s="39" t="s">
        <v>70</v>
      </c>
      <c r="P84" s="39" t="s">
        <v>70</v>
      </c>
      <c r="Q84" s="40">
        <v>4</v>
      </c>
      <c r="R84" s="40">
        <v>4</v>
      </c>
      <c r="S84" s="40">
        <v>4</v>
      </c>
      <c r="T84" s="40">
        <v>4</v>
      </c>
      <c r="U84" s="40">
        <v>4</v>
      </c>
      <c r="V84" s="40">
        <v>4</v>
      </c>
      <c r="W84" s="40">
        <v>4</v>
      </c>
      <c r="X84" s="40">
        <v>4</v>
      </c>
      <c r="Y84" s="40">
        <v>4</v>
      </c>
      <c r="Z84" s="40">
        <f t="shared" si="5"/>
        <v>4</v>
      </c>
      <c r="AA84" s="41">
        <v>5</v>
      </c>
      <c r="AB84" s="41">
        <v>5</v>
      </c>
      <c r="AC84" s="41">
        <v>5</v>
      </c>
      <c r="AD84" s="41">
        <v>5</v>
      </c>
      <c r="AE84" s="41">
        <v>2</v>
      </c>
      <c r="AF84" s="41">
        <v>5</v>
      </c>
      <c r="AG84" s="41">
        <v>5</v>
      </c>
      <c r="AH84" s="41">
        <v>5</v>
      </c>
      <c r="AI84" s="41">
        <v>5</v>
      </c>
      <c r="AJ84" s="41">
        <f t="shared" si="6"/>
        <v>4.666666666666667</v>
      </c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>
        <v>4</v>
      </c>
      <c r="AW84" s="42">
        <v>5</v>
      </c>
      <c r="AX84" s="42">
        <v>5</v>
      </c>
      <c r="AY84" s="42">
        <v>5</v>
      </c>
      <c r="AZ84" s="42"/>
      <c r="BA84" s="42">
        <f t="shared" si="7"/>
        <v>5</v>
      </c>
      <c r="BB84" s="43">
        <v>5</v>
      </c>
      <c r="BC84" s="43"/>
      <c r="BD84" s="44">
        <v>5</v>
      </c>
      <c r="BE84" s="44"/>
      <c r="BF84" s="45">
        <v>5</v>
      </c>
      <c r="BG84" s="45">
        <v>5</v>
      </c>
      <c r="BH84" s="45">
        <v>5</v>
      </c>
      <c r="BI84" s="45">
        <f t="shared" si="4"/>
        <v>5</v>
      </c>
    </row>
    <row r="85" spans="1:61" ht="16.5" customHeight="1">
      <c r="A85" s="48">
        <v>84</v>
      </c>
      <c r="B85" s="49" t="b">
        <v>1</v>
      </c>
      <c r="C85" s="37" t="s">
        <v>138</v>
      </c>
      <c r="D85" s="37" t="s">
        <v>139</v>
      </c>
      <c r="E85" s="38" t="s">
        <v>73</v>
      </c>
      <c r="F85" s="38" t="s">
        <v>63</v>
      </c>
      <c r="G85" s="38" t="s">
        <v>78</v>
      </c>
      <c r="H85" s="38"/>
      <c r="I85" s="39" t="s">
        <v>65</v>
      </c>
      <c r="J85" s="39" t="s">
        <v>65</v>
      </c>
      <c r="K85" s="39"/>
      <c r="L85" s="39">
        <v>2.5</v>
      </c>
      <c r="M85" s="39"/>
      <c r="N85" s="39"/>
      <c r="O85" s="39"/>
      <c r="P85" s="39"/>
      <c r="Q85" s="40">
        <v>4</v>
      </c>
      <c r="R85" s="40">
        <v>4</v>
      </c>
      <c r="S85" s="40">
        <v>4</v>
      </c>
      <c r="T85" s="40">
        <v>4</v>
      </c>
      <c r="U85" s="40">
        <v>4</v>
      </c>
      <c r="V85" s="40">
        <v>4</v>
      </c>
      <c r="W85" s="40">
        <v>4</v>
      </c>
      <c r="X85" s="40">
        <v>4</v>
      </c>
      <c r="Y85" s="40">
        <v>4</v>
      </c>
      <c r="Z85" s="40">
        <f t="shared" si="5"/>
        <v>4</v>
      </c>
      <c r="AA85" s="41">
        <v>5</v>
      </c>
      <c r="AB85" s="41">
        <v>5</v>
      </c>
      <c r="AC85" s="41">
        <v>5</v>
      </c>
      <c r="AD85" s="41">
        <v>5</v>
      </c>
      <c r="AE85" s="41">
        <v>5</v>
      </c>
      <c r="AF85" s="41">
        <v>5</v>
      </c>
      <c r="AG85" s="41">
        <v>5</v>
      </c>
      <c r="AH85" s="41">
        <v>5</v>
      </c>
      <c r="AI85" s="41">
        <v>5</v>
      </c>
      <c r="AJ85" s="41">
        <f t="shared" si="6"/>
        <v>5</v>
      </c>
      <c r="AK85" s="40"/>
      <c r="AL85" s="40"/>
      <c r="AM85" s="40"/>
      <c r="AN85" s="40"/>
      <c r="AO85" s="40"/>
      <c r="AP85" s="40"/>
      <c r="AQ85" s="40"/>
      <c r="AR85" s="40"/>
      <c r="AS85" s="40"/>
      <c r="AT85" s="40"/>
      <c r="AU85" s="40"/>
      <c r="AV85" s="40">
        <v>5</v>
      </c>
      <c r="AW85" s="42">
        <v>5</v>
      </c>
      <c r="AX85" s="42"/>
      <c r="AY85" s="42"/>
      <c r="AZ85" s="42"/>
      <c r="BA85" s="42">
        <f t="shared" si="7"/>
        <v>5</v>
      </c>
      <c r="BB85" s="43"/>
      <c r="BC85" s="43"/>
      <c r="BD85" s="44"/>
      <c r="BE85" s="44"/>
      <c r="BF85" s="45"/>
      <c r="BG85" s="45"/>
      <c r="BH85" s="45"/>
      <c r="BI85" s="45" t="e">
        <f t="shared" si="4"/>
        <v>#DIV/0!</v>
      </c>
    </row>
    <row r="86" spans="1:61" ht="16.5" customHeight="1">
      <c r="A86" s="48">
        <v>85</v>
      </c>
      <c r="B86" s="49" t="b">
        <v>0</v>
      </c>
      <c r="C86" s="37" t="s">
        <v>88</v>
      </c>
      <c r="D86" s="37" t="s">
        <v>85</v>
      </c>
      <c r="E86" s="38" t="s">
        <v>140</v>
      </c>
      <c r="F86" s="38" t="s">
        <v>63</v>
      </c>
      <c r="G86" s="38" t="s">
        <v>78</v>
      </c>
      <c r="H86" s="38"/>
      <c r="I86" s="39" t="s">
        <v>65</v>
      </c>
      <c r="J86" s="39" t="s">
        <v>87</v>
      </c>
      <c r="K86" s="39" t="s">
        <v>65</v>
      </c>
      <c r="L86" s="39">
        <v>3</v>
      </c>
      <c r="M86" s="39"/>
      <c r="N86" s="39"/>
      <c r="O86" s="39" t="s">
        <v>70</v>
      </c>
      <c r="P86" s="39" t="s">
        <v>70</v>
      </c>
      <c r="Q86" s="40">
        <v>4</v>
      </c>
      <c r="R86" s="40">
        <v>4</v>
      </c>
      <c r="S86" s="40">
        <v>4</v>
      </c>
      <c r="T86" s="40">
        <v>4</v>
      </c>
      <c r="U86" s="40">
        <v>4</v>
      </c>
      <c r="V86" s="40">
        <v>4</v>
      </c>
      <c r="W86" s="40">
        <v>3</v>
      </c>
      <c r="X86" s="40">
        <v>4</v>
      </c>
      <c r="Y86" s="40">
        <v>3</v>
      </c>
      <c r="Z86" s="40">
        <f t="shared" si="5"/>
        <v>3.7777777777777777</v>
      </c>
      <c r="AA86" s="41">
        <v>4</v>
      </c>
      <c r="AB86" s="41">
        <v>4</v>
      </c>
      <c r="AC86" s="41">
        <v>4</v>
      </c>
      <c r="AD86" s="41">
        <v>2</v>
      </c>
      <c r="AE86" s="41">
        <v>3</v>
      </c>
      <c r="AF86" s="41">
        <v>4</v>
      </c>
      <c r="AG86" s="41">
        <v>4</v>
      </c>
      <c r="AH86" s="41">
        <v>4</v>
      </c>
      <c r="AI86" s="41">
        <v>4</v>
      </c>
      <c r="AJ86" s="41">
        <f t="shared" si="6"/>
        <v>3.6666666666666665</v>
      </c>
      <c r="AK86" s="40"/>
      <c r="AL86" s="40"/>
      <c r="AM86" s="40"/>
      <c r="AN86" s="40"/>
      <c r="AO86" s="40"/>
      <c r="AP86" s="40"/>
      <c r="AQ86" s="40"/>
      <c r="AR86" s="40"/>
      <c r="AS86" s="40"/>
      <c r="AT86" s="40"/>
      <c r="AU86" s="40"/>
      <c r="AV86" s="40">
        <v>2</v>
      </c>
      <c r="AW86" s="42">
        <v>4</v>
      </c>
      <c r="AX86" s="42">
        <v>3</v>
      </c>
      <c r="AY86" s="42">
        <v>4</v>
      </c>
      <c r="AZ86" s="42"/>
      <c r="BA86" s="42">
        <f t="shared" si="7"/>
        <v>3.6666666666666665</v>
      </c>
      <c r="BB86" s="43">
        <v>4</v>
      </c>
      <c r="BC86" s="43">
        <v>3</v>
      </c>
      <c r="BD86" s="44">
        <v>4</v>
      </c>
      <c r="BE86" s="44"/>
      <c r="BF86" s="45">
        <v>1</v>
      </c>
      <c r="BG86" s="45">
        <v>4</v>
      </c>
      <c r="BH86" s="45">
        <v>4</v>
      </c>
      <c r="BI86" s="45">
        <f t="shared" si="4"/>
        <v>3.3333333333333335</v>
      </c>
    </row>
    <row r="87" spans="1:61" ht="16.5" customHeight="1">
      <c r="A87" s="48">
        <v>86</v>
      </c>
      <c r="B87" s="49" t="b">
        <v>1</v>
      </c>
      <c r="C87" s="37" t="s">
        <v>88</v>
      </c>
      <c r="D87" s="37" t="s">
        <v>85</v>
      </c>
      <c r="E87" s="38" t="s">
        <v>140</v>
      </c>
      <c r="F87" s="38" t="s">
        <v>78</v>
      </c>
      <c r="G87" s="38" t="s">
        <v>78</v>
      </c>
      <c r="H87" s="38"/>
      <c r="I87" s="39" t="s">
        <v>65</v>
      </c>
      <c r="J87" s="39" t="s">
        <v>87</v>
      </c>
      <c r="K87" s="39" t="s">
        <v>65</v>
      </c>
      <c r="L87" s="39">
        <v>3</v>
      </c>
      <c r="M87" s="39"/>
      <c r="N87" s="39"/>
      <c r="O87" s="39" t="s">
        <v>70</v>
      </c>
      <c r="P87" s="39" t="s">
        <v>70</v>
      </c>
      <c r="Q87" s="40">
        <v>3</v>
      </c>
      <c r="R87" s="40">
        <v>4</v>
      </c>
      <c r="S87" s="40">
        <v>4</v>
      </c>
      <c r="T87" s="40">
        <v>3</v>
      </c>
      <c r="U87" s="40">
        <v>3</v>
      </c>
      <c r="V87" s="40">
        <v>4</v>
      </c>
      <c r="W87" s="40">
        <v>3</v>
      </c>
      <c r="X87" s="40">
        <v>4</v>
      </c>
      <c r="Y87" s="40">
        <v>3</v>
      </c>
      <c r="Z87" s="40">
        <f t="shared" si="5"/>
        <v>3.4444444444444446</v>
      </c>
      <c r="AA87" s="41">
        <v>4</v>
      </c>
      <c r="AB87" s="41">
        <v>4</v>
      </c>
      <c r="AC87" s="41">
        <v>4</v>
      </c>
      <c r="AD87" s="41">
        <v>4</v>
      </c>
      <c r="AE87" s="41">
        <v>4</v>
      </c>
      <c r="AF87" s="41">
        <v>4</v>
      </c>
      <c r="AG87" s="41">
        <v>4</v>
      </c>
      <c r="AH87" s="41">
        <v>4</v>
      </c>
      <c r="AI87" s="41">
        <v>4</v>
      </c>
      <c r="AJ87" s="41">
        <f t="shared" si="6"/>
        <v>4</v>
      </c>
      <c r="AK87" s="40"/>
      <c r="AL87" s="40"/>
      <c r="AM87" s="40"/>
      <c r="AN87" s="40"/>
      <c r="AO87" s="40"/>
      <c r="AP87" s="40"/>
      <c r="AQ87" s="40"/>
      <c r="AR87" s="40"/>
      <c r="AS87" s="40"/>
      <c r="AT87" s="40"/>
      <c r="AU87" s="40"/>
      <c r="AV87" s="40">
        <v>3</v>
      </c>
      <c r="AW87" s="42">
        <v>4</v>
      </c>
      <c r="AX87" s="42">
        <v>3</v>
      </c>
      <c r="AY87" s="42">
        <v>4</v>
      </c>
      <c r="AZ87" s="42"/>
      <c r="BA87" s="42">
        <f t="shared" si="7"/>
        <v>3.6666666666666665</v>
      </c>
      <c r="BB87" s="43">
        <v>4</v>
      </c>
      <c r="BC87" s="43">
        <v>4</v>
      </c>
      <c r="BD87" s="44">
        <v>4</v>
      </c>
      <c r="BE87" s="44"/>
      <c r="BF87" s="45">
        <v>4</v>
      </c>
      <c r="BG87" s="45">
        <v>4</v>
      </c>
      <c r="BH87" s="45">
        <v>4</v>
      </c>
      <c r="BI87" s="45">
        <f t="shared" si="4"/>
        <v>4</v>
      </c>
    </row>
    <row r="88" spans="1:61" ht="16.5" customHeight="1">
      <c r="A88" s="48">
        <v>87</v>
      </c>
      <c r="B88" s="49" t="b">
        <v>0</v>
      </c>
      <c r="C88" s="37" t="s">
        <v>88</v>
      </c>
      <c r="D88" s="37" t="s">
        <v>85</v>
      </c>
      <c r="E88" s="38" t="s">
        <v>82</v>
      </c>
      <c r="F88" s="38" t="s">
        <v>105</v>
      </c>
      <c r="G88" s="38" t="s">
        <v>78</v>
      </c>
      <c r="H88" s="38"/>
      <c r="I88" s="39" t="s">
        <v>65</v>
      </c>
      <c r="J88" s="39" t="s">
        <v>87</v>
      </c>
      <c r="K88" s="39" t="s">
        <v>65</v>
      </c>
      <c r="L88" s="39">
        <v>3</v>
      </c>
      <c r="M88" s="39"/>
      <c r="N88" s="39"/>
      <c r="O88" s="39" t="s">
        <v>70</v>
      </c>
      <c r="P88" s="39" t="s">
        <v>70</v>
      </c>
      <c r="Q88" s="40">
        <v>3</v>
      </c>
      <c r="R88" s="40">
        <v>3</v>
      </c>
      <c r="S88" s="40">
        <v>3</v>
      </c>
      <c r="T88" s="40">
        <v>3</v>
      </c>
      <c r="U88" s="40">
        <v>3</v>
      </c>
      <c r="V88" s="40">
        <v>3</v>
      </c>
      <c r="W88" s="40">
        <v>2</v>
      </c>
      <c r="X88" s="40">
        <v>2</v>
      </c>
      <c r="Y88" s="40">
        <v>2</v>
      </c>
      <c r="Z88" s="40">
        <f t="shared" si="5"/>
        <v>2.6666666666666665</v>
      </c>
      <c r="AA88" s="41">
        <v>4</v>
      </c>
      <c r="AB88" s="41">
        <v>4</v>
      </c>
      <c r="AC88" s="41">
        <v>4</v>
      </c>
      <c r="AD88" s="41">
        <v>4</v>
      </c>
      <c r="AE88" s="41">
        <v>4</v>
      </c>
      <c r="AF88" s="41">
        <v>4</v>
      </c>
      <c r="AG88" s="41">
        <v>4</v>
      </c>
      <c r="AH88" s="41">
        <v>2</v>
      </c>
      <c r="AI88" s="41">
        <v>4</v>
      </c>
      <c r="AJ88" s="41">
        <f t="shared" si="6"/>
        <v>3.7777777777777777</v>
      </c>
      <c r="AK88" s="40"/>
      <c r="AL88" s="40"/>
      <c r="AM88" s="40"/>
      <c r="AN88" s="40"/>
      <c r="AO88" s="40"/>
      <c r="AP88" s="40"/>
      <c r="AQ88" s="40"/>
      <c r="AR88" s="40"/>
      <c r="AS88" s="40"/>
      <c r="AT88" s="40"/>
      <c r="AU88" s="40"/>
      <c r="AV88" s="40">
        <v>4</v>
      </c>
      <c r="AW88" s="42">
        <v>4</v>
      </c>
      <c r="AX88" s="42">
        <v>4</v>
      </c>
      <c r="AY88" s="42"/>
      <c r="AZ88" s="42"/>
      <c r="BA88" s="42">
        <f t="shared" si="7"/>
        <v>4</v>
      </c>
      <c r="BB88" s="43"/>
      <c r="BC88" s="43"/>
      <c r="BD88" s="44">
        <v>4</v>
      </c>
      <c r="BE88" s="44"/>
      <c r="BF88" s="45">
        <v>4</v>
      </c>
      <c r="BG88" s="45">
        <v>2</v>
      </c>
      <c r="BH88" s="45">
        <v>5</v>
      </c>
      <c r="BI88" s="45">
        <f t="shared" si="4"/>
        <v>3.75</v>
      </c>
    </row>
    <row r="89" spans="1:61" ht="16.5" customHeight="1">
      <c r="A89" s="48">
        <v>88</v>
      </c>
      <c r="B89" s="49" t="b">
        <v>1</v>
      </c>
      <c r="C89" s="37" t="s">
        <v>88</v>
      </c>
      <c r="D89" s="37" t="s">
        <v>134</v>
      </c>
      <c r="E89" s="38" t="s">
        <v>96</v>
      </c>
      <c r="F89" s="38" t="s">
        <v>78</v>
      </c>
      <c r="G89" s="38" t="s">
        <v>78</v>
      </c>
      <c r="H89" s="38"/>
      <c r="I89" s="46" t="s">
        <v>69</v>
      </c>
      <c r="J89" s="39" t="s">
        <v>87</v>
      </c>
      <c r="K89" s="39"/>
      <c r="L89" s="39">
        <v>2.5</v>
      </c>
      <c r="M89" s="39"/>
      <c r="N89" s="39"/>
      <c r="O89" s="39"/>
      <c r="P89" s="39" t="s">
        <v>70</v>
      </c>
      <c r="Q89" s="40">
        <v>5</v>
      </c>
      <c r="R89" s="40">
        <v>5</v>
      </c>
      <c r="S89" s="40">
        <v>5</v>
      </c>
      <c r="T89" s="40">
        <v>4</v>
      </c>
      <c r="U89" s="40">
        <v>4</v>
      </c>
      <c r="V89" s="40">
        <v>5</v>
      </c>
      <c r="W89" s="40">
        <v>4</v>
      </c>
      <c r="X89" s="40">
        <v>4</v>
      </c>
      <c r="Y89" s="40">
        <v>4</v>
      </c>
      <c r="Z89" s="40">
        <f t="shared" si="5"/>
        <v>4.4444444444444446</v>
      </c>
      <c r="AA89" s="41">
        <v>5</v>
      </c>
      <c r="AB89" s="41">
        <v>5</v>
      </c>
      <c r="AC89" s="41">
        <v>5</v>
      </c>
      <c r="AD89" s="41">
        <v>5</v>
      </c>
      <c r="AE89" s="41">
        <v>5</v>
      </c>
      <c r="AF89" s="41">
        <v>5</v>
      </c>
      <c r="AG89" s="41">
        <v>5</v>
      </c>
      <c r="AH89" s="41">
        <v>5</v>
      </c>
      <c r="AI89" s="41">
        <v>5</v>
      </c>
      <c r="AJ89" s="41">
        <f t="shared" si="6"/>
        <v>5</v>
      </c>
      <c r="AK89" s="40"/>
      <c r="AL89" s="40"/>
      <c r="AM89" s="40"/>
      <c r="AN89" s="40"/>
      <c r="AO89" s="40"/>
      <c r="AP89" s="40"/>
      <c r="AQ89" s="40"/>
      <c r="AR89" s="40"/>
      <c r="AS89" s="40"/>
      <c r="AT89" s="40"/>
      <c r="AU89" s="40"/>
      <c r="AV89" s="40">
        <v>5</v>
      </c>
      <c r="AW89" s="42">
        <v>5</v>
      </c>
      <c r="AX89" s="42">
        <v>1</v>
      </c>
      <c r="AY89" s="42"/>
      <c r="AZ89" s="42"/>
      <c r="BA89" s="42">
        <f t="shared" si="7"/>
        <v>3</v>
      </c>
      <c r="BB89" s="43"/>
      <c r="BC89" s="43"/>
      <c r="BD89" s="44"/>
      <c r="BE89" s="44"/>
      <c r="BF89" s="45">
        <v>5</v>
      </c>
      <c r="BG89" s="45">
        <v>5</v>
      </c>
      <c r="BH89" s="45">
        <v>5</v>
      </c>
      <c r="BI89" s="45">
        <f t="shared" si="4"/>
        <v>5</v>
      </c>
    </row>
    <row r="90" spans="1:61" ht="16.5" customHeight="1">
      <c r="A90" s="48">
        <v>89</v>
      </c>
      <c r="B90" s="49" t="b">
        <v>0</v>
      </c>
      <c r="C90" s="37" t="s">
        <v>88</v>
      </c>
      <c r="D90" s="37" t="s">
        <v>85</v>
      </c>
      <c r="E90" s="38" t="s">
        <v>96</v>
      </c>
      <c r="F90" s="38" t="s">
        <v>78</v>
      </c>
      <c r="G90" s="38" t="s">
        <v>78</v>
      </c>
      <c r="H90" s="38">
        <v>2014</v>
      </c>
      <c r="I90" s="39" t="s">
        <v>65</v>
      </c>
      <c r="J90" s="39" t="s">
        <v>87</v>
      </c>
      <c r="K90" s="39" t="s">
        <v>65</v>
      </c>
      <c r="L90" s="39">
        <v>3</v>
      </c>
      <c r="M90" s="39"/>
      <c r="N90" s="39"/>
      <c r="O90" s="39" t="s">
        <v>70</v>
      </c>
      <c r="P90" s="39"/>
      <c r="Q90" s="40">
        <v>2</v>
      </c>
      <c r="R90" s="40">
        <v>2</v>
      </c>
      <c r="S90" s="40">
        <v>3</v>
      </c>
      <c r="T90" s="40">
        <v>2</v>
      </c>
      <c r="U90" s="40">
        <v>2</v>
      </c>
      <c r="V90" s="40">
        <v>2</v>
      </c>
      <c r="W90" s="40">
        <v>2</v>
      </c>
      <c r="X90" s="40">
        <v>2</v>
      </c>
      <c r="Y90" s="40">
        <v>2</v>
      </c>
      <c r="Z90" s="40">
        <f t="shared" si="5"/>
        <v>2.1111111111111112</v>
      </c>
      <c r="AA90" s="41">
        <v>4</v>
      </c>
      <c r="AB90" s="41">
        <v>3</v>
      </c>
      <c r="AC90" s="41">
        <v>4</v>
      </c>
      <c r="AD90" s="41">
        <v>3</v>
      </c>
      <c r="AE90" s="41">
        <v>2</v>
      </c>
      <c r="AF90" s="41">
        <v>4</v>
      </c>
      <c r="AG90" s="41">
        <v>4</v>
      </c>
      <c r="AH90" s="41">
        <v>2</v>
      </c>
      <c r="AI90" s="41">
        <v>3</v>
      </c>
      <c r="AJ90" s="41">
        <f t="shared" si="6"/>
        <v>3.2222222222222223</v>
      </c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40"/>
      <c r="AV90" s="40">
        <v>3</v>
      </c>
      <c r="AW90" s="42">
        <v>3</v>
      </c>
      <c r="AX90" s="42">
        <v>3</v>
      </c>
      <c r="AY90" s="42">
        <v>2</v>
      </c>
      <c r="AZ90" s="42"/>
      <c r="BA90" s="42">
        <f t="shared" si="7"/>
        <v>2.6666666666666665</v>
      </c>
      <c r="BB90" s="43">
        <v>3</v>
      </c>
      <c r="BC90" s="43"/>
      <c r="BD90" s="44">
        <v>2</v>
      </c>
      <c r="BE90" s="44"/>
      <c r="BF90" s="45">
        <v>3</v>
      </c>
      <c r="BG90" s="45">
        <v>1</v>
      </c>
      <c r="BH90" s="45">
        <v>3</v>
      </c>
      <c r="BI90" s="45">
        <f t="shared" si="4"/>
        <v>2.4</v>
      </c>
    </row>
    <row r="91" spans="1:61" ht="16.5" customHeight="1">
      <c r="A91" s="48">
        <v>90</v>
      </c>
      <c r="B91" s="49" t="b">
        <v>0</v>
      </c>
      <c r="C91" s="37" t="s">
        <v>88</v>
      </c>
      <c r="D91" s="37" t="s">
        <v>141</v>
      </c>
      <c r="E91" s="38" t="s">
        <v>86</v>
      </c>
      <c r="F91" s="38" t="s">
        <v>78</v>
      </c>
      <c r="G91" s="38" t="s">
        <v>78</v>
      </c>
      <c r="H91" s="38"/>
      <c r="I91" s="39" t="s">
        <v>65</v>
      </c>
      <c r="J91" s="39" t="s">
        <v>83</v>
      </c>
      <c r="K91" s="39"/>
      <c r="L91" s="39">
        <v>2.5</v>
      </c>
      <c r="M91" s="39"/>
      <c r="N91" s="39"/>
      <c r="O91" s="39"/>
      <c r="P91" s="39"/>
      <c r="Q91" s="40">
        <v>3</v>
      </c>
      <c r="R91" s="40">
        <v>3</v>
      </c>
      <c r="S91" s="40">
        <v>3</v>
      </c>
      <c r="T91" s="40">
        <v>3</v>
      </c>
      <c r="U91" s="40">
        <v>3</v>
      </c>
      <c r="V91" s="40">
        <v>3</v>
      </c>
      <c r="W91" s="40">
        <v>3</v>
      </c>
      <c r="X91" s="40">
        <v>3</v>
      </c>
      <c r="Y91" s="40">
        <v>3</v>
      </c>
      <c r="Z91" s="40">
        <f t="shared" si="5"/>
        <v>3</v>
      </c>
      <c r="AA91" s="41">
        <v>4</v>
      </c>
      <c r="AB91" s="41">
        <v>3</v>
      </c>
      <c r="AC91" s="41">
        <v>4</v>
      </c>
      <c r="AD91" s="41">
        <v>4</v>
      </c>
      <c r="AE91" s="41">
        <v>4</v>
      </c>
      <c r="AF91" s="41">
        <v>4</v>
      </c>
      <c r="AG91" s="41">
        <v>4</v>
      </c>
      <c r="AH91" s="41">
        <v>3</v>
      </c>
      <c r="AI91" s="41">
        <v>4</v>
      </c>
      <c r="AJ91" s="41">
        <f t="shared" si="6"/>
        <v>3.7777777777777777</v>
      </c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>
        <v>4</v>
      </c>
      <c r="AW91" s="42">
        <v>4</v>
      </c>
      <c r="AX91" s="42"/>
      <c r="AY91" s="42"/>
      <c r="AZ91" s="42"/>
      <c r="BA91" s="42">
        <f t="shared" si="7"/>
        <v>4</v>
      </c>
      <c r="BB91" s="43">
        <v>3</v>
      </c>
      <c r="BC91" s="43"/>
      <c r="BD91" s="44"/>
      <c r="BE91" s="44"/>
      <c r="BF91" s="45">
        <v>5</v>
      </c>
      <c r="BG91" s="45">
        <v>5</v>
      </c>
      <c r="BH91" s="45">
        <v>5</v>
      </c>
      <c r="BI91" s="45">
        <f t="shared" si="4"/>
        <v>4.5</v>
      </c>
    </row>
    <row r="92" spans="1:61" ht="16.5" customHeight="1">
      <c r="A92" s="48">
        <v>91</v>
      </c>
      <c r="B92" s="49" t="b">
        <v>0</v>
      </c>
      <c r="C92" s="37" t="s">
        <v>88</v>
      </c>
      <c r="D92" s="37" t="s">
        <v>142</v>
      </c>
      <c r="E92" s="38" t="s">
        <v>72</v>
      </c>
      <c r="F92" s="38" t="s">
        <v>74</v>
      </c>
      <c r="G92" s="38" t="s">
        <v>78</v>
      </c>
      <c r="H92" s="38"/>
      <c r="I92" s="39" t="s">
        <v>87</v>
      </c>
      <c r="J92" s="39" t="s">
        <v>65</v>
      </c>
      <c r="K92" s="39"/>
      <c r="L92" s="39">
        <v>2.5</v>
      </c>
      <c r="M92" s="39"/>
      <c r="N92" s="39"/>
      <c r="O92" s="39"/>
      <c r="P92" s="39"/>
      <c r="Q92" s="40">
        <v>3</v>
      </c>
      <c r="R92" s="40">
        <v>3</v>
      </c>
      <c r="S92" s="40">
        <v>3</v>
      </c>
      <c r="T92" s="40">
        <v>2</v>
      </c>
      <c r="U92" s="40">
        <v>1</v>
      </c>
      <c r="V92" s="40">
        <v>3</v>
      </c>
      <c r="W92" s="40">
        <v>2</v>
      </c>
      <c r="X92" s="40">
        <v>3</v>
      </c>
      <c r="Y92" s="40">
        <v>2</v>
      </c>
      <c r="Z92" s="40">
        <f t="shared" si="5"/>
        <v>2.4444444444444446</v>
      </c>
      <c r="AA92" s="41">
        <v>3</v>
      </c>
      <c r="AB92" s="41">
        <v>3</v>
      </c>
      <c r="AC92" s="41">
        <v>3</v>
      </c>
      <c r="AD92" s="41">
        <v>2</v>
      </c>
      <c r="AE92" s="41">
        <v>1</v>
      </c>
      <c r="AF92" s="41">
        <v>3</v>
      </c>
      <c r="AG92" s="41">
        <v>4</v>
      </c>
      <c r="AH92" s="41">
        <v>3</v>
      </c>
      <c r="AI92" s="41">
        <v>3</v>
      </c>
      <c r="AJ92" s="41">
        <f t="shared" si="6"/>
        <v>2.7777777777777777</v>
      </c>
      <c r="AK92" s="40"/>
      <c r="AL92" s="40"/>
      <c r="AM92" s="40"/>
      <c r="AN92" s="40"/>
      <c r="AO92" s="40"/>
      <c r="AP92" s="40"/>
      <c r="AQ92" s="40"/>
      <c r="AR92" s="40"/>
      <c r="AS92" s="40"/>
      <c r="AT92" s="40"/>
      <c r="AU92" s="40"/>
      <c r="AV92" s="40"/>
      <c r="AW92" s="42">
        <v>4</v>
      </c>
      <c r="AX92" s="42"/>
      <c r="AY92" s="42"/>
      <c r="AZ92" s="42"/>
      <c r="BA92" s="42">
        <f t="shared" si="7"/>
        <v>4</v>
      </c>
      <c r="BB92" s="43"/>
      <c r="BC92" s="43"/>
      <c r="BD92" s="44"/>
      <c r="BE92" s="44"/>
      <c r="BF92" s="45">
        <v>4</v>
      </c>
      <c r="BG92" s="45">
        <v>4</v>
      </c>
      <c r="BH92" s="45">
        <v>4</v>
      </c>
      <c r="BI92" s="45">
        <f t="shared" si="4"/>
        <v>4</v>
      </c>
    </row>
    <row r="93" spans="1:61" ht="16.5" customHeight="1">
      <c r="A93" s="48">
        <v>92</v>
      </c>
      <c r="B93" s="49" t="b">
        <v>1</v>
      </c>
      <c r="C93" s="37" t="s">
        <v>79</v>
      </c>
      <c r="D93" s="37" t="s">
        <v>98</v>
      </c>
      <c r="E93" s="38" t="s">
        <v>131</v>
      </c>
      <c r="F93" s="38" t="s">
        <v>78</v>
      </c>
      <c r="G93" s="38"/>
      <c r="H93" s="38"/>
      <c r="I93" s="46" t="s">
        <v>69</v>
      </c>
      <c r="J93" s="39" t="s">
        <v>87</v>
      </c>
      <c r="K93" s="39"/>
      <c r="L93" s="39">
        <v>2.5</v>
      </c>
      <c r="M93" s="39"/>
      <c r="N93" s="39"/>
      <c r="O93" s="39" t="s">
        <v>70</v>
      </c>
      <c r="P93" s="39" t="s">
        <v>70</v>
      </c>
      <c r="Q93" s="40">
        <v>4</v>
      </c>
      <c r="R93" s="40">
        <v>4</v>
      </c>
      <c r="S93" s="40">
        <v>4</v>
      </c>
      <c r="T93" s="40">
        <v>4</v>
      </c>
      <c r="U93" s="40">
        <v>4</v>
      </c>
      <c r="V93" s="40">
        <v>4</v>
      </c>
      <c r="W93" s="40">
        <v>4</v>
      </c>
      <c r="X93" s="40">
        <v>4</v>
      </c>
      <c r="Y93" s="40">
        <v>4</v>
      </c>
      <c r="Z93" s="40">
        <f t="shared" si="5"/>
        <v>4</v>
      </c>
      <c r="AA93" s="41">
        <v>5</v>
      </c>
      <c r="AB93" s="41">
        <v>5</v>
      </c>
      <c r="AC93" s="41">
        <v>5</v>
      </c>
      <c r="AD93" s="41">
        <v>5</v>
      </c>
      <c r="AE93" s="41">
        <v>5</v>
      </c>
      <c r="AF93" s="41">
        <v>5</v>
      </c>
      <c r="AG93" s="41">
        <v>5</v>
      </c>
      <c r="AH93" s="41">
        <v>5</v>
      </c>
      <c r="AI93" s="41">
        <v>5</v>
      </c>
      <c r="AJ93" s="41">
        <f t="shared" si="6"/>
        <v>5</v>
      </c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40"/>
      <c r="AV93" s="40">
        <v>5</v>
      </c>
      <c r="AW93" s="42">
        <v>1</v>
      </c>
      <c r="AX93" s="42">
        <v>5</v>
      </c>
      <c r="AY93" s="42">
        <v>5</v>
      </c>
      <c r="AZ93" s="42"/>
      <c r="BA93" s="42">
        <f t="shared" si="7"/>
        <v>3.6666666666666665</v>
      </c>
      <c r="BB93" s="43">
        <v>5</v>
      </c>
      <c r="BC93" s="43"/>
      <c r="BD93" s="44"/>
      <c r="BE93" s="44"/>
      <c r="BF93" s="45">
        <v>5</v>
      </c>
      <c r="BG93" s="45">
        <v>5</v>
      </c>
      <c r="BH93" s="45"/>
      <c r="BI93" s="45">
        <f t="shared" si="4"/>
        <v>5</v>
      </c>
    </row>
    <row r="94" spans="1:61" ht="16.5" customHeight="1">
      <c r="A94" s="48">
        <v>93</v>
      </c>
      <c r="B94" s="49" t="b">
        <v>1</v>
      </c>
      <c r="C94" s="37" t="s">
        <v>143</v>
      </c>
      <c r="D94" s="37"/>
      <c r="E94" s="38" t="s">
        <v>111</v>
      </c>
      <c r="F94" s="38" t="s">
        <v>78</v>
      </c>
      <c r="G94" s="38" t="s">
        <v>78</v>
      </c>
      <c r="H94" s="38"/>
      <c r="I94" s="46" t="s">
        <v>69</v>
      </c>
      <c r="J94" s="39" t="s">
        <v>69</v>
      </c>
      <c r="K94" s="39" t="s">
        <v>69</v>
      </c>
      <c r="L94" s="39" t="s">
        <v>92</v>
      </c>
      <c r="M94" s="39" t="s">
        <v>70</v>
      </c>
      <c r="N94" s="39"/>
      <c r="O94" s="39"/>
      <c r="P94" s="39"/>
      <c r="Q94" s="40">
        <v>4</v>
      </c>
      <c r="R94" s="40">
        <v>4</v>
      </c>
      <c r="S94" s="40">
        <v>4</v>
      </c>
      <c r="T94" s="40">
        <v>4</v>
      </c>
      <c r="U94" s="40">
        <v>4</v>
      </c>
      <c r="V94" s="40">
        <v>4</v>
      </c>
      <c r="W94" s="40">
        <v>4</v>
      </c>
      <c r="X94" s="40">
        <v>4</v>
      </c>
      <c r="Y94" s="40">
        <v>4</v>
      </c>
      <c r="Z94" s="40">
        <f t="shared" si="5"/>
        <v>4</v>
      </c>
      <c r="AA94" s="41">
        <v>5</v>
      </c>
      <c r="AB94" s="41">
        <v>4</v>
      </c>
      <c r="AC94" s="41">
        <v>5</v>
      </c>
      <c r="AD94" s="41">
        <v>5</v>
      </c>
      <c r="AE94" s="41">
        <v>4</v>
      </c>
      <c r="AF94" s="41">
        <v>5</v>
      </c>
      <c r="AG94" s="41">
        <v>5</v>
      </c>
      <c r="AH94" s="41">
        <v>5</v>
      </c>
      <c r="AI94" s="41">
        <v>4</v>
      </c>
      <c r="AJ94" s="41">
        <f t="shared" si="6"/>
        <v>4.666666666666667</v>
      </c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>
        <v>5</v>
      </c>
      <c r="AW94" s="42">
        <v>5</v>
      </c>
      <c r="AX94" s="42">
        <v>5</v>
      </c>
      <c r="AY94" s="42"/>
      <c r="AZ94" s="42"/>
      <c r="BA94" s="42">
        <f t="shared" si="7"/>
        <v>5</v>
      </c>
      <c r="BB94" s="43"/>
      <c r="BC94" s="43"/>
      <c r="BD94" s="44"/>
      <c r="BE94" s="44"/>
      <c r="BF94" s="45">
        <v>1</v>
      </c>
      <c r="BG94" s="45"/>
      <c r="BH94" s="45"/>
      <c r="BI94" s="45">
        <f t="shared" si="4"/>
        <v>1</v>
      </c>
    </row>
    <row r="95" spans="1:61" ht="16.5" customHeight="1">
      <c r="A95" s="48">
        <v>94</v>
      </c>
      <c r="B95" s="49" t="b">
        <v>1</v>
      </c>
      <c r="C95" s="37" t="s">
        <v>79</v>
      </c>
      <c r="D95" s="37" t="s">
        <v>98</v>
      </c>
      <c r="E95" s="38" t="s">
        <v>144</v>
      </c>
      <c r="F95" s="38" t="s">
        <v>74</v>
      </c>
      <c r="G95" s="38" t="s">
        <v>78</v>
      </c>
      <c r="H95" s="38"/>
      <c r="I95" s="39" t="s">
        <v>65</v>
      </c>
      <c r="J95" s="39" t="s">
        <v>87</v>
      </c>
      <c r="K95" s="39" t="s">
        <v>65</v>
      </c>
      <c r="L95" s="39">
        <v>3</v>
      </c>
      <c r="M95" s="39"/>
      <c r="N95" s="39"/>
      <c r="O95" s="39" t="s">
        <v>70</v>
      </c>
      <c r="P95" s="39" t="s">
        <v>70</v>
      </c>
      <c r="Q95" s="40">
        <v>4</v>
      </c>
      <c r="R95" s="40">
        <v>4</v>
      </c>
      <c r="S95" s="40">
        <v>4</v>
      </c>
      <c r="T95" s="40">
        <v>4</v>
      </c>
      <c r="U95" s="40">
        <v>4</v>
      </c>
      <c r="V95" s="40">
        <v>4</v>
      </c>
      <c r="W95" s="40">
        <v>3</v>
      </c>
      <c r="X95" s="40">
        <v>4</v>
      </c>
      <c r="Y95" s="40">
        <v>1</v>
      </c>
      <c r="Z95" s="40">
        <f t="shared" si="5"/>
        <v>3.5555555555555554</v>
      </c>
      <c r="AA95" s="41">
        <v>5</v>
      </c>
      <c r="AB95" s="41">
        <v>4</v>
      </c>
      <c r="AC95" s="41">
        <v>5</v>
      </c>
      <c r="AD95" s="41">
        <v>4</v>
      </c>
      <c r="AE95" s="41">
        <v>4</v>
      </c>
      <c r="AF95" s="41">
        <v>3</v>
      </c>
      <c r="AG95" s="41">
        <v>4</v>
      </c>
      <c r="AH95" s="41">
        <v>4</v>
      </c>
      <c r="AI95" s="41">
        <v>1</v>
      </c>
      <c r="AJ95" s="41">
        <f t="shared" si="6"/>
        <v>3.7777777777777777</v>
      </c>
      <c r="AK95" s="40"/>
      <c r="AL95" s="40"/>
      <c r="AM95" s="40"/>
      <c r="AN95" s="40"/>
      <c r="AO95" s="40"/>
      <c r="AP95" s="40"/>
      <c r="AQ95" s="40"/>
      <c r="AR95" s="40"/>
      <c r="AS95" s="40"/>
      <c r="AT95" s="40"/>
      <c r="AU95" s="40"/>
      <c r="AV95" s="40">
        <v>4</v>
      </c>
      <c r="AW95" s="42">
        <v>3</v>
      </c>
      <c r="AX95" s="42">
        <v>3</v>
      </c>
      <c r="AY95" s="42">
        <v>4</v>
      </c>
      <c r="AZ95" s="42"/>
      <c r="BA95" s="42">
        <f t="shared" si="7"/>
        <v>3.3333333333333335</v>
      </c>
      <c r="BB95" s="43">
        <v>4</v>
      </c>
      <c r="BC95" s="43"/>
      <c r="BD95" s="44"/>
      <c r="BE95" s="44"/>
      <c r="BF95" s="45">
        <v>5</v>
      </c>
      <c r="BG95" s="45"/>
      <c r="BH95" s="45"/>
      <c r="BI95" s="45">
        <f t="shared" si="4"/>
        <v>4.5</v>
      </c>
    </row>
    <row r="96" spans="1:61" ht="16.5" customHeight="1">
      <c r="A96" s="48">
        <v>95</v>
      </c>
      <c r="B96" s="49" t="b">
        <v>1</v>
      </c>
      <c r="C96" s="37" t="s">
        <v>79</v>
      </c>
      <c r="D96" s="37" t="s">
        <v>85</v>
      </c>
      <c r="E96" s="38" t="s">
        <v>145</v>
      </c>
      <c r="F96" s="38" t="s">
        <v>68</v>
      </c>
      <c r="G96" s="38" t="s">
        <v>78</v>
      </c>
      <c r="H96" s="38">
        <v>2022</v>
      </c>
      <c r="I96" s="39" t="s">
        <v>65</v>
      </c>
      <c r="J96" s="39" t="s">
        <v>87</v>
      </c>
      <c r="K96" s="39" t="s">
        <v>65</v>
      </c>
      <c r="L96" s="39">
        <v>3</v>
      </c>
      <c r="M96" s="39"/>
      <c r="N96" s="39"/>
      <c r="O96" s="39" t="s">
        <v>70</v>
      </c>
      <c r="P96" s="39" t="s">
        <v>70</v>
      </c>
      <c r="Q96" s="40">
        <v>5</v>
      </c>
      <c r="R96" s="40">
        <v>5</v>
      </c>
      <c r="S96" s="40">
        <v>5</v>
      </c>
      <c r="T96" s="40">
        <v>3</v>
      </c>
      <c r="U96" s="40">
        <v>3</v>
      </c>
      <c r="V96" s="40">
        <v>4</v>
      </c>
      <c r="W96" s="40">
        <v>4</v>
      </c>
      <c r="X96" s="40">
        <v>3</v>
      </c>
      <c r="Y96" s="40">
        <v>3</v>
      </c>
      <c r="Z96" s="40">
        <f t="shared" si="5"/>
        <v>3.8888888888888888</v>
      </c>
      <c r="AA96" s="41">
        <v>5</v>
      </c>
      <c r="AB96" s="41">
        <v>5</v>
      </c>
      <c r="AC96" s="41">
        <v>5</v>
      </c>
      <c r="AD96" s="41">
        <v>5</v>
      </c>
      <c r="AE96" s="41"/>
      <c r="AF96" s="41">
        <v>5</v>
      </c>
      <c r="AG96" s="41">
        <v>5</v>
      </c>
      <c r="AH96" s="41">
        <v>5</v>
      </c>
      <c r="AI96" s="41">
        <v>5</v>
      </c>
      <c r="AJ96" s="41">
        <f t="shared" si="6"/>
        <v>5</v>
      </c>
      <c r="AK96" s="40"/>
      <c r="AL96" s="40"/>
      <c r="AM96" s="40"/>
      <c r="AN96" s="40"/>
      <c r="AO96" s="40"/>
      <c r="AP96" s="40"/>
      <c r="AQ96" s="40"/>
      <c r="AR96" s="40"/>
      <c r="AS96" s="40"/>
      <c r="AT96" s="40"/>
      <c r="AU96" s="40"/>
      <c r="AV96" s="40">
        <v>4</v>
      </c>
      <c r="AW96" s="42">
        <v>3</v>
      </c>
      <c r="AX96" s="42">
        <v>5</v>
      </c>
      <c r="AY96" s="42">
        <v>5</v>
      </c>
      <c r="AZ96" s="42"/>
      <c r="BA96" s="42">
        <f t="shared" si="7"/>
        <v>4.333333333333333</v>
      </c>
      <c r="BB96" s="43">
        <v>3</v>
      </c>
      <c r="BC96" s="43"/>
      <c r="BD96" s="44"/>
      <c r="BE96" s="44"/>
      <c r="BF96" s="45">
        <v>5</v>
      </c>
      <c r="BG96" s="45">
        <v>5</v>
      </c>
      <c r="BH96" s="45">
        <v>5</v>
      </c>
      <c r="BI96" s="45">
        <f t="shared" si="4"/>
        <v>4.5</v>
      </c>
    </row>
    <row r="97" spans="1:61" ht="16.5" customHeight="1">
      <c r="A97" s="48">
        <v>96</v>
      </c>
      <c r="B97" s="49" t="b">
        <v>1</v>
      </c>
      <c r="C97" s="37" t="s">
        <v>79</v>
      </c>
      <c r="D97" s="37" t="s">
        <v>98</v>
      </c>
      <c r="E97" s="38" t="s">
        <v>146</v>
      </c>
      <c r="F97" s="38" t="s">
        <v>63</v>
      </c>
      <c r="G97" s="38" t="s">
        <v>78</v>
      </c>
      <c r="H97" s="38"/>
      <c r="I97" s="39" t="s">
        <v>65</v>
      </c>
      <c r="J97" s="39" t="s">
        <v>87</v>
      </c>
      <c r="K97" s="39" t="s">
        <v>65</v>
      </c>
      <c r="L97" s="39">
        <v>3</v>
      </c>
      <c r="M97" s="39"/>
      <c r="N97" s="39"/>
      <c r="O97" s="39" t="s">
        <v>70</v>
      </c>
      <c r="P97" s="39" t="s">
        <v>70</v>
      </c>
      <c r="Q97" s="40">
        <v>5</v>
      </c>
      <c r="R97" s="40">
        <v>5</v>
      </c>
      <c r="S97" s="40">
        <v>5</v>
      </c>
      <c r="T97" s="40">
        <v>4</v>
      </c>
      <c r="U97" s="40">
        <v>4</v>
      </c>
      <c r="V97" s="40">
        <v>5</v>
      </c>
      <c r="W97" s="40">
        <v>3</v>
      </c>
      <c r="X97" s="40">
        <v>4</v>
      </c>
      <c r="Y97" s="40">
        <v>4</v>
      </c>
      <c r="Z97" s="40">
        <f t="shared" si="5"/>
        <v>4.333333333333333</v>
      </c>
      <c r="AA97" s="41">
        <v>5</v>
      </c>
      <c r="AB97" s="41">
        <v>5</v>
      </c>
      <c r="AC97" s="41">
        <v>5</v>
      </c>
      <c r="AD97" s="41">
        <v>5</v>
      </c>
      <c r="AE97" s="41">
        <v>4</v>
      </c>
      <c r="AF97" s="41">
        <v>5</v>
      </c>
      <c r="AG97" s="41">
        <v>5</v>
      </c>
      <c r="AH97" s="41">
        <v>5</v>
      </c>
      <c r="AI97" s="41">
        <v>4</v>
      </c>
      <c r="AJ97" s="41">
        <f t="shared" si="6"/>
        <v>4.7777777777777777</v>
      </c>
      <c r="AK97" s="40"/>
      <c r="AL97" s="40"/>
      <c r="AM97" s="40"/>
      <c r="AN97" s="40"/>
      <c r="AO97" s="40"/>
      <c r="AP97" s="40"/>
      <c r="AQ97" s="40"/>
      <c r="AR97" s="40"/>
      <c r="AS97" s="40"/>
      <c r="AT97" s="40"/>
      <c r="AU97" s="40"/>
      <c r="AV97" s="40">
        <v>5</v>
      </c>
      <c r="AW97" s="42">
        <v>5</v>
      </c>
      <c r="AX97" s="42">
        <v>5</v>
      </c>
      <c r="AY97" s="42">
        <v>5</v>
      </c>
      <c r="AZ97" s="42"/>
      <c r="BA97" s="42">
        <f t="shared" si="7"/>
        <v>5</v>
      </c>
      <c r="BB97" s="43">
        <v>4</v>
      </c>
      <c r="BC97" s="43"/>
      <c r="BD97" s="44"/>
      <c r="BE97" s="44"/>
      <c r="BF97" s="45">
        <v>5</v>
      </c>
      <c r="BG97" s="45">
        <v>5</v>
      </c>
      <c r="BH97" s="45">
        <v>5</v>
      </c>
      <c r="BI97" s="45">
        <f t="shared" si="4"/>
        <v>4.75</v>
      </c>
    </row>
    <row r="98" spans="1:61" ht="16.5" customHeight="1">
      <c r="A98" s="48">
        <v>97</v>
      </c>
      <c r="B98" s="49" t="b">
        <v>1</v>
      </c>
      <c r="C98" s="37" t="s">
        <v>143</v>
      </c>
      <c r="D98" s="37" t="s">
        <v>134</v>
      </c>
      <c r="E98" s="38" t="s">
        <v>147</v>
      </c>
      <c r="F98" s="38" t="s">
        <v>105</v>
      </c>
      <c r="G98" s="38" t="s">
        <v>64</v>
      </c>
      <c r="H98" s="38"/>
      <c r="I98" s="39" t="s">
        <v>65</v>
      </c>
      <c r="J98" s="39" t="s">
        <v>87</v>
      </c>
      <c r="K98" s="39"/>
      <c r="L98" s="39">
        <v>2.5</v>
      </c>
      <c r="M98" s="39"/>
      <c r="N98" s="39"/>
      <c r="O98" s="39"/>
      <c r="P98" s="39"/>
      <c r="Q98" s="40">
        <v>5</v>
      </c>
      <c r="R98" s="40">
        <v>5</v>
      </c>
      <c r="S98" s="40">
        <v>5</v>
      </c>
      <c r="T98" s="40">
        <v>5</v>
      </c>
      <c r="U98" s="40">
        <v>5</v>
      </c>
      <c r="V98" s="40">
        <v>5</v>
      </c>
      <c r="W98" s="40">
        <v>5</v>
      </c>
      <c r="X98" s="40">
        <v>5</v>
      </c>
      <c r="Y98" s="40">
        <v>5</v>
      </c>
      <c r="Z98" s="40">
        <f t="shared" si="5"/>
        <v>5</v>
      </c>
      <c r="AA98" s="41">
        <v>5</v>
      </c>
      <c r="AB98" s="41">
        <v>5</v>
      </c>
      <c r="AC98" s="41">
        <v>5</v>
      </c>
      <c r="AD98" s="41">
        <v>5</v>
      </c>
      <c r="AE98" s="41">
        <v>5</v>
      </c>
      <c r="AF98" s="41">
        <v>5</v>
      </c>
      <c r="AG98" s="41">
        <v>5</v>
      </c>
      <c r="AH98" s="41">
        <v>5</v>
      </c>
      <c r="AI98" s="41">
        <v>5</v>
      </c>
      <c r="AJ98" s="41">
        <f t="shared" si="6"/>
        <v>5</v>
      </c>
      <c r="AK98" s="40"/>
      <c r="AL98" s="40"/>
      <c r="AM98" s="40"/>
      <c r="AN98" s="40"/>
      <c r="AO98" s="40"/>
      <c r="AP98" s="40"/>
      <c r="AQ98" s="40"/>
      <c r="AR98" s="40"/>
      <c r="AS98" s="40"/>
      <c r="AT98" s="40"/>
      <c r="AU98" s="40"/>
      <c r="AV98" s="40">
        <v>5</v>
      </c>
      <c r="AW98" s="42">
        <v>5</v>
      </c>
      <c r="AX98" s="42">
        <v>5</v>
      </c>
      <c r="AY98" s="42"/>
      <c r="AZ98" s="42"/>
      <c r="BA98" s="42">
        <f t="shared" si="7"/>
        <v>5</v>
      </c>
      <c r="BB98" s="43"/>
      <c r="BC98" s="43"/>
      <c r="BD98" s="44"/>
      <c r="BE98" s="44"/>
      <c r="BF98" s="45">
        <v>5</v>
      </c>
      <c r="BG98" s="45">
        <v>5</v>
      </c>
      <c r="BH98" s="45"/>
      <c r="BI98" s="45">
        <f t="shared" si="4"/>
        <v>5</v>
      </c>
    </row>
    <row r="99" spans="1:61" ht="16.5" customHeight="1">
      <c r="A99" s="48">
        <v>98</v>
      </c>
      <c r="B99" s="49" t="b">
        <v>1</v>
      </c>
      <c r="C99" s="37" t="s">
        <v>79</v>
      </c>
      <c r="D99" s="37" t="s">
        <v>98</v>
      </c>
      <c r="E99" s="38" t="s">
        <v>131</v>
      </c>
      <c r="F99" s="38" t="s">
        <v>78</v>
      </c>
      <c r="G99" s="38" t="s">
        <v>64</v>
      </c>
      <c r="H99" s="38"/>
      <c r="I99" s="39" t="s">
        <v>65</v>
      </c>
      <c r="J99" s="39" t="s">
        <v>87</v>
      </c>
      <c r="K99" s="39" t="s">
        <v>69</v>
      </c>
      <c r="L99" s="39">
        <v>3</v>
      </c>
      <c r="M99" s="39"/>
      <c r="N99" s="39"/>
      <c r="O99" s="39" t="s">
        <v>70</v>
      </c>
      <c r="P99" s="39" t="s">
        <v>70</v>
      </c>
      <c r="Q99" s="40">
        <v>4</v>
      </c>
      <c r="R99" s="40">
        <v>4</v>
      </c>
      <c r="S99" s="40">
        <v>4</v>
      </c>
      <c r="T99" s="40">
        <v>4</v>
      </c>
      <c r="U99" s="40">
        <v>4</v>
      </c>
      <c r="V99" s="40">
        <v>4</v>
      </c>
      <c r="W99" s="40">
        <v>4</v>
      </c>
      <c r="X99" s="40">
        <v>4</v>
      </c>
      <c r="Y99" s="40">
        <v>4</v>
      </c>
      <c r="Z99" s="40">
        <f t="shared" si="5"/>
        <v>4</v>
      </c>
      <c r="AA99" s="41">
        <v>5</v>
      </c>
      <c r="AB99" s="41">
        <v>5</v>
      </c>
      <c r="AC99" s="41">
        <v>5</v>
      </c>
      <c r="AD99" s="41">
        <v>5</v>
      </c>
      <c r="AE99" s="41">
        <v>5</v>
      </c>
      <c r="AF99" s="41">
        <v>5</v>
      </c>
      <c r="AG99" s="41">
        <v>5</v>
      </c>
      <c r="AH99" s="41">
        <v>5</v>
      </c>
      <c r="AI99" s="41">
        <v>5</v>
      </c>
      <c r="AJ99" s="41">
        <f t="shared" si="6"/>
        <v>5</v>
      </c>
      <c r="AK99" s="40"/>
      <c r="AL99" s="40"/>
      <c r="AM99" s="40"/>
      <c r="AN99" s="40"/>
      <c r="AO99" s="40"/>
      <c r="AP99" s="40"/>
      <c r="AQ99" s="40"/>
      <c r="AR99" s="40"/>
      <c r="AS99" s="40"/>
      <c r="AT99" s="40"/>
      <c r="AU99" s="40"/>
      <c r="AV99" s="40">
        <v>5</v>
      </c>
      <c r="AW99" s="42">
        <v>5</v>
      </c>
      <c r="AX99" s="42">
        <v>5</v>
      </c>
      <c r="AY99" s="42">
        <v>5</v>
      </c>
      <c r="AZ99" s="42"/>
      <c r="BA99" s="42">
        <f t="shared" si="7"/>
        <v>5</v>
      </c>
      <c r="BB99" s="43">
        <v>5</v>
      </c>
      <c r="BC99" s="43"/>
      <c r="BD99" s="44"/>
      <c r="BE99" s="44"/>
      <c r="BF99" s="45">
        <v>5</v>
      </c>
      <c r="BG99" s="45">
        <v>5</v>
      </c>
      <c r="BH99" s="45">
        <v>5</v>
      </c>
      <c r="BI99" s="45">
        <f t="shared" si="4"/>
        <v>5</v>
      </c>
    </row>
    <row r="100" spans="1:61" ht="16.5" customHeight="1">
      <c r="A100" s="48">
        <v>99</v>
      </c>
      <c r="B100" s="49" t="b">
        <v>0</v>
      </c>
      <c r="C100" s="37" t="s">
        <v>79</v>
      </c>
      <c r="D100" s="37" t="s">
        <v>85</v>
      </c>
      <c r="E100" s="38" t="s">
        <v>148</v>
      </c>
      <c r="F100" s="38" t="s">
        <v>63</v>
      </c>
      <c r="G100" s="38" t="s">
        <v>78</v>
      </c>
      <c r="H100" s="38"/>
      <c r="I100" s="39" t="s">
        <v>65</v>
      </c>
      <c r="J100" s="39" t="s">
        <v>87</v>
      </c>
      <c r="K100" s="39" t="s">
        <v>65</v>
      </c>
      <c r="L100" s="39">
        <v>3</v>
      </c>
      <c r="M100" s="39"/>
      <c r="N100" s="39"/>
      <c r="O100" s="39" t="s">
        <v>70</v>
      </c>
      <c r="P100" s="39" t="s">
        <v>70</v>
      </c>
      <c r="Q100" s="40">
        <v>3</v>
      </c>
      <c r="R100" s="40">
        <v>3</v>
      </c>
      <c r="S100" s="40">
        <v>3</v>
      </c>
      <c r="T100" s="40">
        <v>3</v>
      </c>
      <c r="U100" s="40">
        <v>3</v>
      </c>
      <c r="V100" s="40">
        <v>3</v>
      </c>
      <c r="W100" s="40">
        <v>3</v>
      </c>
      <c r="X100" s="40">
        <v>3</v>
      </c>
      <c r="Y100" s="40">
        <v>2</v>
      </c>
      <c r="Z100" s="40">
        <f t="shared" si="5"/>
        <v>2.8888888888888888</v>
      </c>
      <c r="AA100" s="41">
        <v>5</v>
      </c>
      <c r="AB100" s="41">
        <v>5</v>
      </c>
      <c r="AC100" s="41">
        <v>5</v>
      </c>
      <c r="AD100" s="41">
        <v>5</v>
      </c>
      <c r="AE100" s="41">
        <v>4</v>
      </c>
      <c r="AF100" s="41">
        <v>5</v>
      </c>
      <c r="AG100" s="41">
        <v>5</v>
      </c>
      <c r="AH100" s="41">
        <v>4</v>
      </c>
      <c r="AI100" s="41">
        <v>4</v>
      </c>
      <c r="AJ100" s="41">
        <f t="shared" si="6"/>
        <v>4.666666666666667</v>
      </c>
      <c r="AK100" s="40"/>
      <c r="AL100" s="40"/>
      <c r="AM100" s="40"/>
      <c r="AN100" s="40"/>
      <c r="AO100" s="40"/>
      <c r="AP100" s="40"/>
      <c r="AQ100" s="40"/>
      <c r="AR100" s="40"/>
      <c r="AS100" s="40"/>
      <c r="AT100" s="40"/>
      <c r="AU100" s="40"/>
      <c r="AV100" s="40">
        <v>2</v>
      </c>
      <c r="AW100" s="42">
        <v>4</v>
      </c>
      <c r="AX100" s="42">
        <v>4</v>
      </c>
      <c r="AY100" s="42">
        <v>4</v>
      </c>
      <c r="AZ100" s="42"/>
      <c r="BA100" s="42">
        <f t="shared" si="7"/>
        <v>4</v>
      </c>
      <c r="BB100" s="43">
        <v>5</v>
      </c>
      <c r="BC100" s="43"/>
      <c r="BD100" s="44"/>
      <c r="BE100" s="44"/>
      <c r="BF100" s="45">
        <v>5</v>
      </c>
      <c r="BG100" s="45">
        <v>5</v>
      </c>
      <c r="BH100" s="45">
        <v>5</v>
      </c>
      <c r="BI100" s="45">
        <f t="shared" si="4"/>
        <v>5</v>
      </c>
    </row>
    <row r="101" spans="1:61" ht="16.5" customHeight="1">
      <c r="A101" s="48">
        <v>100</v>
      </c>
      <c r="B101" s="49" t="b">
        <v>0</v>
      </c>
      <c r="C101" s="37" t="s">
        <v>79</v>
      </c>
      <c r="D101" s="47" t="s">
        <v>149</v>
      </c>
      <c r="E101" s="38" t="s">
        <v>72</v>
      </c>
      <c r="F101" s="38" t="s">
        <v>78</v>
      </c>
      <c r="G101" s="38" t="s">
        <v>78</v>
      </c>
      <c r="H101" s="38">
        <v>2018</v>
      </c>
      <c r="I101" s="46" t="s">
        <v>69</v>
      </c>
      <c r="J101" s="39" t="s">
        <v>83</v>
      </c>
      <c r="K101" s="39"/>
      <c r="L101" s="39">
        <v>2.5</v>
      </c>
      <c r="M101" s="39"/>
      <c r="N101" s="39"/>
      <c r="O101" s="39"/>
      <c r="P101" s="39" t="s">
        <v>70</v>
      </c>
      <c r="Q101" s="40">
        <v>3</v>
      </c>
      <c r="R101" s="40">
        <v>3</v>
      </c>
      <c r="S101" s="40">
        <v>3</v>
      </c>
      <c r="T101" s="40">
        <v>3</v>
      </c>
      <c r="U101" s="40">
        <v>3</v>
      </c>
      <c r="V101" s="40">
        <v>3</v>
      </c>
      <c r="W101" s="40">
        <v>3</v>
      </c>
      <c r="X101" s="40">
        <v>3</v>
      </c>
      <c r="Y101" s="40">
        <v>3</v>
      </c>
      <c r="Z101" s="40">
        <f t="shared" si="5"/>
        <v>3</v>
      </c>
      <c r="AA101" s="41">
        <v>2</v>
      </c>
      <c r="AB101" s="41">
        <v>3</v>
      </c>
      <c r="AC101" s="41">
        <v>3</v>
      </c>
      <c r="AD101" s="41">
        <v>4</v>
      </c>
      <c r="AE101" s="41">
        <v>4</v>
      </c>
      <c r="AF101" s="41">
        <v>4</v>
      </c>
      <c r="AG101" s="41">
        <v>4</v>
      </c>
      <c r="AH101" s="41">
        <v>4</v>
      </c>
      <c r="AI101" s="41">
        <v>4</v>
      </c>
      <c r="AJ101" s="41">
        <f t="shared" si="6"/>
        <v>3.5555555555555554</v>
      </c>
      <c r="AK101" s="40"/>
      <c r="AL101" s="40"/>
      <c r="AM101" s="40"/>
      <c r="AN101" s="40"/>
      <c r="AO101" s="40"/>
      <c r="AP101" s="40"/>
      <c r="AQ101" s="40"/>
      <c r="AR101" s="40"/>
      <c r="AS101" s="40"/>
      <c r="AT101" s="40"/>
      <c r="AU101" s="40"/>
      <c r="AV101" s="40">
        <v>4</v>
      </c>
      <c r="AW101" s="42">
        <v>4</v>
      </c>
      <c r="AX101" s="42">
        <v>4</v>
      </c>
      <c r="AY101" s="42">
        <v>3</v>
      </c>
      <c r="AZ101" s="42"/>
      <c r="BA101" s="42">
        <f t="shared" si="7"/>
        <v>3.6666666666666665</v>
      </c>
      <c r="BB101" s="43">
        <v>4</v>
      </c>
      <c r="BC101" s="43"/>
      <c r="BD101" s="44"/>
      <c r="BE101" s="44"/>
      <c r="BF101" s="45">
        <v>5</v>
      </c>
      <c r="BG101" s="45">
        <v>5</v>
      </c>
      <c r="BH101" s="45">
        <v>5</v>
      </c>
      <c r="BI101" s="45">
        <f t="shared" si="4"/>
        <v>4.75</v>
      </c>
    </row>
    <row r="102" spans="1:61" ht="16.5" customHeight="1">
      <c r="A102" s="48">
        <v>101</v>
      </c>
      <c r="B102" s="49" t="b">
        <v>1</v>
      </c>
      <c r="C102" s="37" t="s">
        <v>143</v>
      </c>
      <c r="D102" s="37" t="s">
        <v>98</v>
      </c>
      <c r="E102" s="38" t="s">
        <v>96</v>
      </c>
      <c r="F102" s="38" t="s">
        <v>74</v>
      </c>
      <c r="G102" s="38" t="s">
        <v>64</v>
      </c>
      <c r="H102" s="38">
        <v>2023</v>
      </c>
      <c r="I102" s="46" t="s">
        <v>69</v>
      </c>
      <c r="J102" s="39" t="s">
        <v>87</v>
      </c>
      <c r="K102" s="39"/>
      <c r="L102" s="39" t="s">
        <v>92</v>
      </c>
      <c r="M102" s="39" t="s">
        <v>70</v>
      </c>
      <c r="N102" s="39"/>
      <c r="O102" s="39"/>
      <c r="P102" s="39"/>
      <c r="Q102" s="40">
        <v>4</v>
      </c>
      <c r="R102" s="40">
        <v>4</v>
      </c>
      <c r="S102" s="40">
        <v>4</v>
      </c>
      <c r="T102" s="40">
        <v>4</v>
      </c>
      <c r="U102" s="40">
        <v>4</v>
      </c>
      <c r="V102" s="40">
        <v>3</v>
      </c>
      <c r="W102" s="40">
        <v>3</v>
      </c>
      <c r="X102" s="40">
        <v>4</v>
      </c>
      <c r="Y102" s="40">
        <v>3</v>
      </c>
      <c r="Z102" s="40">
        <f t="shared" si="5"/>
        <v>3.6666666666666665</v>
      </c>
      <c r="AA102" s="41">
        <v>5</v>
      </c>
      <c r="AB102" s="41">
        <v>4</v>
      </c>
      <c r="AC102" s="41">
        <v>4</v>
      </c>
      <c r="AD102" s="41">
        <v>4</v>
      </c>
      <c r="AE102" s="41">
        <v>4</v>
      </c>
      <c r="AF102" s="41">
        <v>4</v>
      </c>
      <c r="AG102" s="41">
        <v>5</v>
      </c>
      <c r="AH102" s="41">
        <v>4</v>
      </c>
      <c r="AI102" s="41">
        <v>2</v>
      </c>
      <c r="AJ102" s="41">
        <f t="shared" si="6"/>
        <v>4</v>
      </c>
      <c r="AK102" s="40"/>
      <c r="AL102" s="40"/>
      <c r="AM102" s="40"/>
      <c r="AN102" s="40"/>
      <c r="AO102" s="40"/>
      <c r="AP102" s="40"/>
      <c r="AQ102" s="40"/>
      <c r="AR102" s="40"/>
      <c r="AS102" s="40"/>
      <c r="AT102" s="40"/>
      <c r="AU102" s="40"/>
      <c r="AV102" s="40">
        <v>5</v>
      </c>
      <c r="AW102" s="42">
        <v>4</v>
      </c>
      <c r="AX102" s="42">
        <v>5</v>
      </c>
      <c r="AY102" s="42"/>
      <c r="AZ102" s="42"/>
      <c r="BA102" s="42">
        <f t="shared" si="7"/>
        <v>4.5</v>
      </c>
      <c r="BB102" s="43">
        <v>4</v>
      </c>
      <c r="BC102" s="43"/>
      <c r="BD102" s="44"/>
      <c r="BE102" s="44"/>
      <c r="BF102" s="45">
        <v>5</v>
      </c>
      <c r="BG102" s="45">
        <v>5</v>
      </c>
      <c r="BH102" s="45">
        <v>5</v>
      </c>
      <c r="BI102" s="45">
        <f t="shared" si="4"/>
        <v>4.75</v>
      </c>
    </row>
    <row r="103" spans="1:61" ht="16.5" customHeight="1">
      <c r="A103" s="48">
        <v>102</v>
      </c>
      <c r="B103" s="49" t="b">
        <v>1</v>
      </c>
      <c r="C103" s="37" t="s">
        <v>79</v>
      </c>
      <c r="D103" s="37" t="s">
        <v>85</v>
      </c>
      <c r="E103" s="38" t="s">
        <v>150</v>
      </c>
      <c r="F103" s="38" t="s">
        <v>74</v>
      </c>
      <c r="G103" s="38" t="s">
        <v>78</v>
      </c>
      <c r="H103" s="38"/>
      <c r="I103" s="39" t="s">
        <v>65</v>
      </c>
      <c r="J103" s="39" t="s">
        <v>87</v>
      </c>
      <c r="K103" s="39" t="s">
        <v>65</v>
      </c>
      <c r="L103" s="39">
        <v>3</v>
      </c>
      <c r="M103" s="39"/>
      <c r="N103" s="39"/>
      <c r="O103" s="39" t="s">
        <v>70</v>
      </c>
      <c r="P103" s="39" t="s">
        <v>70</v>
      </c>
      <c r="Q103" s="40">
        <v>5</v>
      </c>
      <c r="R103" s="40">
        <v>5</v>
      </c>
      <c r="S103" s="40">
        <v>5</v>
      </c>
      <c r="T103" s="40">
        <v>4</v>
      </c>
      <c r="U103" s="40">
        <v>4</v>
      </c>
      <c r="V103" s="40">
        <v>5</v>
      </c>
      <c r="W103" s="40">
        <v>5</v>
      </c>
      <c r="X103" s="40">
        <v>5</v>
      </c>
      <c r="Y103" s="40">
        <v>4</v>
      </c>
      <c r="Z103" s="40">
        <f t="shared" si="5"/>
        <v>4.666666666666667</v>
      </c>
      <c r="AA103" s="41">
        <v>5</v>
      </c>
      <c r="AB103" s="41">
        <v>5</v>
      </c>
      <c r="AC103" s="41">
        <v>5</v>
      </c>
      <c r="AD103" s="41">
        <v>5</v>
      </c>
      <c r="AE103" s="41">
        <v>5</v>
      </c>
      <c r="AF103" s="41">
        <v>5</v>
      </c>
      <c r="AG103" s="41">
        <v>5</v>
      </c>
      <c r="AH103" s="41">
        <v>5</v>
      </c>
      <c r="AI103" s="41">
        <v>5</v>
      </c>
      <c r="AJ103" s="41">
        <f t="shared" si="6"/>
        <v>5</v>
      </c>
      <c r="AK103" s="40"/>
      <c r="AL103" s="40"/>
      <c r="AM103" s="40"/>
      <c r="AN103" s="40"/>
      <c r="AO103" s="40"/>
      <c r="AP103" s="40"/>
      <c r="AQ103" s="40"/>
      <c r="AR103" s="40"/>
      <c r="AS103" s="40"/>
      <c r="AT103" s="40"/>
      <c r="AU103" s="40"/>
      <c r="AV103" s="40">
        <v>5</v>
      </c>
      <c r="AW103" s="42">
        <v>4</v>
      </c>
      <c r="AX103" s="42">
        <v>5</v>
      </c>
      <c r="AY103" s="42">
        <v>5</v>
      </c>
      <c r="AZ103" s="42"/>
      <c r="BA103" s="42">
        <f t="shared" si="7"/>
        <v>4.666666666666667</v>
      </c>
      <c r="BB103" s="43">
        <v>5</v>
      </c>
      <c r="BC103" s="43"/>
      <c r="BD103" s="44"/>
      <c r="BE103" s="44"/>
      <c r="BF103" s="45">
        <v>5</v>
      </c>
      <c r="BG103" s="45">
        <v>5</v>
      </c>
      <c r="BH103" s="45">
        <v>5</v>
      </c>
      <c r="BI103" s="45">
        <f t="shared" si="4"/>
        <v>5</v>
      </c>
    </row>
    <row r="104" spans="1:61" ht="16.5" customHeight="1">
      <c r="A104" s="48">
        <v>103</v>
      </c>
      <c r="B104" s="49" t="b">
        <v>1</v>
      </c>
      <c r="C104" s="37" t="s">
        <v>151</v>
      </c>
      <c r="D104" s="37" t="s">
        <v>85</v>
      </c>
      <c r="E104" s="38" t="s">
        <v>75</v>
      </c>
      <c r="F104" s="38" t="s">
        <v>63</v>
      </c>
      <c r="G104" s="38" t="s">
        <v>78</v>
      </c>
      <c r="H104" s="38">
        <v>2009</v>
      </c>
      <c r="I104" s="39" t="s">
        <v>65</v>
      </c>
      <c r="J104" s="39" t="s">
        <v>87</v>
      </c>
      <c r="K104" s="39" t="s">
        <v>65</v>
      </c>
      <c r="L104" s="39">
        <v>3</v>
      </c>
      <c r="M104" s="39"/>
      <c r="N104" s="39"/>
      <c r="O104" s="39"/>
      <c r="P104" s="39" t="s">
        <v>70</v>
      </c>
      <c r="Q104" s="40">
        <v>5</v>
      </c>
      <c r="R104" s="40">
        <v>4</v>
      </c>
      <c r="S104" s="40">
        <v>4</v>
      </c>
      <c r="T104" s="40">
        <v>4</v>
      </c>
      <c r="U104" s="40">
        <v>4</v>
      </c>
      <c r="V104" s="40">
        <v>4</v>
      </c>
      <c r="W104" s="40">
        <v>4</v>
      </c>
      <c r="X104" s="40">
        <v>3</v>
      </c>
      <c r="Y104" s="40">
        <v>4</v>
      </c>
      <c r="Z104" s="40">
        <f t="shared" si="5"/>
        <v>4</v>
      </c>
      <c r="AA104" s="41">
        <v>5</v>
      </c>
      <c r="AB104" s="41">
        <v>3</v>
      </c>
      <c r="AC104" s="41">
        <v>3</v>
      </c>
      <c r="AD104" s="41">
        <v>5</v>
      </c>
      <c r="AE104" s="41">
        <v>3</v>
      </c>
      <c r="AF104" s="41">
        <v>5</v>
      </c>
      <c r="AG104" s="41">
        <v>4</v>
      </c>
      <c r="AH104" s="41">
        <v>3</v>
      </c>
      <c r="AI104" s="41">
        <v>3</v>
      </c>
      <c r="AJ104" s="41">
        <f t="shared" si="6"/>
        <v>3.7777777777777777</v>
      </c>
      <c r="AK104" s="40"/>
      <c r="AL104" s="40"/>
      <c r="AM104" s="40"/>
      <c r="AN104" s="40"/>
      <c r="AO104" s="40"/>
      <c r="AP104" s="40"/>
      <c r="AQ104" s="40"/>
      <c r="AR104" s="40"/>
      <c r="AS104" s="40"/>
      <c r="AT104" s="40"/>
      <c r="AU104" s="40"/>
      <c r="AV104" s="40">
        <v>5</v>
      </c>
      <c r="AW104" s="42">
        <v>4</v>
      </c>
      <c r="AX104" s="42">
        <v>4</v>
      </c>
      <c r="AY104" s="42">
        <v>4</v>
      </c>
      <c r="AZ104" s="42"/>
      <c r="BA104" s="42">
        <f t="shared" si="7"/>
        <v>4</v>
      </c>
      <c r="BB104" s="43">
        <v>3</v>
      </c>
      <c r="BC104" s="43"/>
      <c r="BD104" s="44"/>
      <c r="BE104" s="44"/>
      <c r="BF104" s="45">
        <v>1</v>
      </c>
      <c r="BG104" s="45"/>
      <c r="BH104" s="45">
        <v>5</v>
      </c>
      <c r="BI104" s="45">
        <f t="shared" si="4"/>
        <v>3</v>
      </c>
    </row>
    <row r="105" spans="1:61" ht="16.5" customHeight="1">
      <c r="A105" s="48">
        <v>104</v>
      </c>
      <c r="B105" s="49" t="b">
        <v>0</v>
      </c>
      <c r="C105" s="37" t="s">
        <v>151</v>
      </c>
      <c r="D105" s="37" t="s">
        <v>134</v>
      </c>
      <c r="E105" s="38" t="s">
        <v>82</v>
      </c>
      <c r="F105" s="38" t="s">
        <v>63</v>
      </c>
      <c r="G105" s="38" t="s">
        <v>78</v>
      </c>
      <c r="H105" s="38">
        <v>2006</v>
      </c>
      <c r="I105" s="39" t="s">
        <v>65</v>
      </c>
      <c r="J105" s="39" t="s">
        <v>87</v>
      </c>
      <c r="K105" s="39" t="s">
        <v>65</v>
      </c>
      <c r="L105" s="39">
        <v>2.5</v>
      </c>
      <c r="M105" s="39"/>
      <c r="N105" s="39"/>
      <c r="O105" s="39" t="s">
        <v>70</v>
      </c>
      <c r="P105" s="39" t="s">
        <v>70</v>
      </c>
      <c r="Q105" s="40">
        <v>3</v>
      </c>
      <c r="R105" s="40">
        <v>3</v>
      </c>
      <c r="S105" s="40">
        <v>3</v>
      </c>
      <c r="T105" s="40">
        <v>3</v>
      </c>
      <c r="U105" s="40">
        <v>3</v>
      </c>
      <c r="V105" s="40">
        <v>1</v>
      </c>
      <c r="W105" s="40">
        <v>3</v>
      </c>
      <c r="X105" s="40">
        <v>3</v>
      </c>
      <c r="Y105" s="40">
        <v>1</v>
      </c>
      <c r="Z105" s="40">
        <f t="shared" si="5"/>
        <v>2.5555555555555554</v>
      </c>
      <c r="AA105" s="41">
        <v>3</v>
      </c>
      <c r="AB105" s="41">
        <v>2</v>
      </c>
      <c r="AC105" s="41">
        <v>3</v>
      </c>
      <c r="AD105" s="41">
        <v>5</v>
      </c>
      <c r="AE105" s="41">
        <v>4</v>
      </c>
      <c r="AF105" s="41">
        <v>1</v>
      </c>
      <c r="AG105" s="41">
        <v>5</v>
      </c>
      <c r="AH105" s="41">
        <v>3</v>
      </c>
      <c r="AI105" s="41">
        <v>1</v>
      </c>
      <c r="AJ105" s="41">
        <f t="shared" si="6"/>
        <v>3</v>
      </c>
      <c r="AK105" s="40"/>
      <c r="AL105" s="40"/>
      <c r="AM105" s="40"/>
      <c r="AN105" s="40"/>
      <c r="AO105" s="40"/>
      <c r="AP105" s="40"/>
      <c r="AQ105" s="40"/>
      <c r="AR105" s="40"/>
      <c r="AS105" s="40"/>
      <c r="AT105" s="40"/>
      <c r="AU105" s="40"/>
      <c r="AV105" s="40">
        <v>3</v>
      </c>
      <c r="AW105" s="42">
        <v>3</v>
      </c>
      <c r="AX105" s="42">
        <v>3</v>
      </c>
      <c r="AY105" s="42">
        <v>3</v>
      </c>
      <c r="AZ105" s="42"/>
      <c r="BA105" s="42">
        <f t="shared" si="7"/>
        <v>3</v>
      </c>
      <c r="BB105" s="43">
        <v>3</v>
      </c>
      <c r="BC105" s="43"/>
      <c r="BD105" s="44"/>
      <c r="BE105" s="44"/>
      <c r="BF105" s="45">
        <v>1</v>
      </c>
      <c r="BG105" s="45">
        <v>3</v>
      </c>
      <c r="BH105" s="45">
        <v>3</v>
      </c>
      <c r="BI105" s="45">
        <f t="shared" si="4"/>
        <v>2.5</v>
      </c>
    </row>
    <row r="106" spans="1:61" ht="16.5" customHeight="1">
      <c r="A106" s="48">
        <v>105</v>
      </c>
      <c r="B106" s="49" t="b">
        <v>0</v>
      </c>
      <c r="C106" s="37" t="s">
        <v>151</v>
      </c>
      <c r="D106" s="37" t="s">
        <v>85</v>
      </c>
      <c r="E106" s="38" t="s">
        <v>96</v>
      </c>
      <c r="F106" s="38" t="s">
        <v>105</v>
      </c>
      <c r="G106" s="38" t="s">
        <v>78</v>
      </c>
      <c r="H106" s="38">
        <v>2014</v>
      </c>
      <c r="I106" s="39" t="s">
        <v>65</v>
      </c>
      <c r="J106" s="39" t="s">
        <v>87</v>
      </c>
      <c r="K106" s="39" t="s">
        <v>65</v>
      </c>
      <c r="L106" s="39">
        <v>3</v>
      </c>
      <c r="M106" s="39"/>
      <c r="N106" s="39"/>
      <c r="O106" s="39" t="s">
        <v>70</v>
      </c>
      <c r="P106" s="39" t="s">
        <v>70</v>
      </c>
      <c r="Q106" s="40">
        <v>4</v>
      </c>
      <c r="R106" s="40">
        <v>3</v>
      </c>
      <c r="S106" s="40">
        <v>3</v>
      </c>
      <c r="T106" s="40">
        <v>4</v>
      </c>
      <c r="U106" s="40">
        <v>4</v>
      </c>
      <c r="V106" s="40">
        <v>4</v>
      </c>
      <c r="W106" s="40">
        <v>3</v>
      </c>
      <c r="X106" s="40">
        <v>3</v>
      </c>
      <c r="Y106" s="40">
        <v>3</v>
      </c>
      <c r="Z106" s="40">
        <f t="shared" si="5"/>
        <v>3.4444444444444446</v>
      </c>
      <c r="AA106" s="41">
        <v>3</v>
      </c>
      <c r="AB106" s="41">
        <v>3</v>
      </c>
      <c r="AC106" s="41">
        <v>3</v>
      </c>
      <c r="AD106" s="41">
        <v>3</v>
      </c>
      <c r="AE106" s="41">
        <v>3</v>
      </c>
      <c r="AF106" s="41">
        <v>3</v>
      </c>
      <c r="AG106" s="41">
        <v>3</v>
      </c>
      <c r="AH106" s="41">
        <v>3</v>
      </c>
      <c r="AI106" s="41">
        <v>3</v>
      </c>
      <c r="AJ106" s="41">
        <f t="shared" si="6"/>
        <v>3</v>
      </c>
      <c r="AK106" s="40"/>
      <c r="AL106" s="40"/>
      <c r="AM106" s="40"/>
      <c r="AN106" s="40"/>
      <c r="AO106" s="40"/>
      <c r="AP106" s="40"/>
      <c r="AQ106" s="40"/>
      <c r="AR106" s="40"/>
      <c r="AS106" s="40"/>
      <c r="AT106" s="40"/>
      <c r="AU106" s="40"/>
      <c r="AV106" s="40">
        <v>2</v>
      </c>
      <c r="AW106" s="42">
        <v>3</v>
      </c>
      <c r="AX106" s="42">
        <v>4</v>
      </c>
      <c r="AY106" s="42">
        <v>4</v>
      </c>
      <c r="AZ106" s="42"/>
      <c r="BA106" s="42">
        <f t="shared" si="7"/>
        <v>3.6666666666666665</v>
      </c>
      <c r="BB106" s="43">
        <v>4</v>
      </c>
      <c r="BC106" s="43"/>
      <c r="BD106" s="44"/>
      <c r="BE106" s="44"/>
      <c r="BF106" s="45">
        <v>5</v>
      </c>
      <c r="BG106" s="45">
        <v>5</v>
      </c>
      <c r="BH106" s="45">
        <v>2</v>
      </c>
      <c r="BI106" s="45">
        <f t="shared" si="4"/>
        <v>4</v>
      </c>
    </row>
    <row r="107" spans="1:61" ht="16.5" customHeight="1">
      <c r="A107" s="48">
        <v>106</v>
      </c>
      <c r="B107" s="49" t="b">
        <v>0</v>
      </c>
      <c r="C107" s="37" t="s">
        <v>151</v>
      </c>
      <c r="D107" s="37" t="s">
        <v>85</v>
      </c>
      <c r="E107" s="38" t="s">
        <v>116</v>
      </c>
      <c r="F107" s="38" t="s">
        <v>74</v>
      </c>
      <c r="G107" s="38" t="s">
        <v>64</v>
      </c>
      <c r="H107" s="38">
        <v>2010</v>
      </c>
      <c r="I107" s="39" t="s">
        <v>65</v>
      </c>
      <c r="J107" s="39" t="s">
        <v>87</v>
      </c>
      <c r="K107" s="39" t="s">
        <v>65</v>
      </c>
      <c r="L107" s="39">
        <v>3</v>
      </c>
      <c r="M107" s="39"/>
      <c r="N107" s="39"/>
      <c r="O107" s="39" t="s">
        <v>70</v>
      </c>
      <c r="P107" s="39" t="s">
        <v>70</v>
      </c>
      <c r="Q107" s="40">
        <v>3</v>
      </c>
      <c r="R107" s="40">
        <v>3</v>
      </c>
      <c r="S107" s="40">
        <v>3</v>
      </c>
      <c r="T107" s="40">
        <v>3</v>
      </c>
      <c r="U107" s="40">
        <v>3</v>
      </c>
      <c r="V107" s="40">
        <v>3</v>
      </c>
      <c r="W107" s="40">
        <v>3</v>
      </c>
      <c r="X107" s="40">
        <v>3</v>
      </c>
      <c r="Y107" s="40">
        <v>3</v>
      </c>
      <c r="Z107" s="40">
        <f t="shared" si="5"/>
        <v>3</v>
      </c>
      <c r="AA107" s="41">
        <v>4</v>
      </c>
      <c r="AB107" s="41">
        <v>4</v>
      </c>
      <c r="AC107" s="41">
        <v>4</v>
      </c>
      <c r="AD107" s="41">
        <v>4</v>
      </c>
      <c r="AE107" s="41">
        <v>4</v>
      </c>
      <c r="AF107" s="41">
        <v>4</v>
      </c>
      <c r="AG107" s="41">
        <v>4</v>
      </c>
      <c r="AH107" s="41">
        <v>1</v>
      </c>
      <c r="AI107" s="41">
        <v>4</v>
      </c>
      <c r="AJ107" s="41">
        <f t="shared" si="6"/>
        <v>3.6666666666666665</v>
      </c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40"/>
      <c r="AV107" s="40">
        <v>2</v>
      </c>
      <c r="AW107" s="42">
        <v>2</v>
      </c>
      <c r="AX107" s="42">
        <v>4</v>
      </c>
      <c r="AY107" s="42">
        <v>4</v>
      </c>
      <c r="AZ107" s="42"/>
      <c r="BA107" s="42">
        <f t="shared" si="7"/>
        <v>3.3333333333333335</v>
      </c>
      <c r="BB107" s="43">
        <v>3</v>
      </c>
      <c r="BC107" s="43"/>
      <c r="BD107" s="44"/>
      <c r="BE107" s="44"/>
      <c r="BF107" s="45">
        <v>1</v>
      </c>
      <c r="BG107" s="45">
        <v>4</v>
      </c>
      <c r="BH107" s="45">
        <v>4</v>
      </c>
      <c r="BI107" s="45">
        <f t="shared" si="4"/>
        <v>3</v>
      </c>
    </row>
    <row r="108" spans="1:61" ht="16.5" customHeight="1">
      <c r="A108" s="48">
        <v>107</v>
      </c>
      <c r="B108" s="49" t="b">
        <v>0</v>
      </c>
      <c r="C108" s="37" t="s">
        <v>151</v>
      </c>
      <c r="D108" s="37" t="s">
        <v>85</v>
      </c>
      <c r="E108" s="38" t="s">
        <v>72</v>
      </c>
      <c r="F108" s="38" t="s">
        <v>74</v>
      </c>
      <c r="G108" s="38" t="s">
        <v>78</v>
      </c>
      <c r="H108" s="38">
        <v>2019</v>
      </c>
      <c r="I108" s="39" t="s">
        <v>65</v>
      </c>
      <c r="J108" s="39" t="s">
        <v>87</v>
      </c>
      <c r="K108" s="39" t="s">
        <v>65</v>
      </c>
      <c r="L108" s="39">
        <v>3</v>
      </c>
      <c r="M108" s="39"/>
      <c r="N108" s="39"/>
      <c r="O108" s="39" t="s">
        <v>70</v>
      </c>
      <c r="P108" s="39" t="s">
        <v>70</v>
      </c>
      <c r="Q108" s="40">
        <v>2</v>
      </c>
      <c r="R108" s="40">
        <v>2</v>
      </c>
      <c r="S108" s="40">
        <v>2</v>
      </c>
      <c r="T108" s="40">
        <v>2</v>
      </c>
      <c r="U108" s="40">
        <v>2</v>
      </c>
      <c r="V108" s="40">
        <v>2</v>
      </c>
      <c r="W108" s="40">
        <v>2</v>
      </c>
      <c r="X108" s="40">
        <v>2</v>
      </c>
      <c r="Y108" s="40">
        <v>2</v>
      </c>
      <c r="Z108" s="40">
        <f t="shared" si="5"/>
        <v>2</v>
      </c>
      <c r="AA108" s="41">
        <v>4</v>
      </c>
      <c r="AB108" s="41">
        <v>3</v>
      </c>
      <c r="AC108" s="41">
        <v>1</v>
      </c>
      <c r="AD108" s="41">
        <v>1</v>
      </c>
      <c r="AE108" s="41">
        <v>1</v>
      </c>
      <c r="AF108" s="41">
        <v>1</v>
      </c>
      <c r="AG108" s="41">
        <v>1</v>
      </c>
      <c r="AH108" s="41">
        <v>1</v>
      </c>
      <c r="AI108" s="41">
        <v>1</v>
      </c>
      <c r="AJ108" s="41">
        <f t="shared" si="6"/>
        <v>1.5555555555555556</v>
      </c>
      <c r="AK108" s="40"/>
      <c r="AL108" s="40"/>
      <c r="AM108" s="40"/>
      <c r="AN108" s="40"/>
      <c r="AO108" s="40"/>
      <c r="AP108" s="40"/>
      <c r="AQ108" s="40"/>
      <c r="AR108" s="40"/>
      <c r="AS108" s="40"/>
      <c r="AT108" s="40"/>
      <c r="AU108" s="40"/>
      <c r="AV108" s="40">
        <v>3</v>
      </c>
      <c r="AW108" s="42">
        <v>3</v>
      </c>
      <c r="AX108" s="42">
        <v>4</v>
      </c>
      <c r="AY108" s="42"/>
      <c r="AZ108" s="42"/>
      <c r="BA108" s="42">
        <f t="shared" si="7"/>
        <v>3.5</v>
      </c>
      <c r="BB108" s="43">
        <v>3</v>
      </c>
      <c r="BC108" s="43"/>
      <c r="BD108" s="44"/>
      <c r="BE108" s="44"/>
      <c r="BF108" s="45">
        <v>5</v>
      </c>
      <c r="BG108" s="45">
        <v>5</v>
      </c>
      <c r="BH108" s="45">
        <v>5</v>
      </c>
      <c r="BI108" s="45">
        <f t="shared" si="4"/>
        <v>4.5</v>
      </c>
    </row>
    <row r="109" spans="1:61" ht="16.5" customHeight="1">
      <c r="A109" s="48">
        <v>108</v>
      </c>
      <c r="B109" s="49" t="b">
        <v>0</v>
      </c>
      <c r="C109" s="37" t="s">
        <v>151</v>
      </c>
      <c r="D109" s="37" t="s">
        <v>98</v>
      </c>
      <c r="E109" s="38" t="s">
        <v>62</v>
      </c>
      <c r="F109" s="38" t="s">
        <v>63</v>
      </c>
      <c r="G109" s="38" t="s">
        <v>64</v>
      </c>
      <c r="H109" s="38">
        <v>2015</v>
      </c>
      <c r="I109" s="39" t="s">
        <v>65</v>
      </c>
      <c r="J109" s="39" t="s">
        <v>87</v>
      </c>
      <c r="K109" s="39" t="s">
        <v>65</v>
      </c>
      <c r="L109" s="39">
        <v>3</v>
      </c>
      <c r="M109" s="39"/>
      <c r="N109" s="39"/>
      <c r="O109" s="39"/>
      <c r="P109" s="39"/>
      <c r="Q109" s="40">
        <v>4</v>
      </c>
      <c r="R109" s="40">
        <v>4</v>
      </c>
      <c r="S109" s="40">
        <v>4</v>
      </c>
      <c r="T109" s="40">
        <v>4</v>
      </c>
      <c r="U109" s="40">
        <v>4</v>
      </c>
      <c r="V109" s="40">
        <v>4</v>
      </c>
      <c r="W109" s="40">
        <v>4</v>
      </c>
      <c r="X109" s="40">
        <v>4</v>
      </c>
      <c r="Y109" s="40">
        <v>3</v>
      </c>
      <c r="Z109" s="40">
        <f t="shared" si="5"/>
        <v>3.8888888888888888</v>
      </c>
      <c r="AA109" s="41">
        <v>3</v>
      </c>
      <c r="AB109" s="41">
        <v>3</v>
      </c>
      <c r="AC109" s="41">
        <v>3</v>
      </c>
      <c r="AD109" s="41">
        <v>4</v>
      </c>
      <c r="AE109" s="41">
        <v>4</v>
      </c>
      <c r="AF109" s="41">
        <v>3</v>
      </c>
      <c r="AG109" s="41">
        <v>3</v>
      </c>
      <c r="AH109" s="41">
        <v>4</v>
      </c>
      <c r="AI109" s="41">
        <v>3</v>
      </c>
      <c r="AJ109" s="41">
        <f t="shared" si="6"/>
        <v>3.3333333333333335</v>
      </c>
      <c r="AK109" s="40"/>
      <c r="AL109" s="40"/>
      <c r="AM109" s="40"/>
      <c r="AN109" s="40"/>
      <c r="AO109" s="40"/>
      <c r="AP109" s="40"/>
      <c r="AQ109" s="40"/>
      <c r="AR109" s="40"/>
      <c r="AS109" s="40"/>
      <c r="AT109" s="40"/>
      <c r="AU109" s="40"/>
      <c r="AV109" s="40">
        <v>4</v>
      </c>
      <c r="AW109" s="42">
        <v>1</v>
      </c>
      <c r="AX109" s="42">
        <v>4</v>
      </c>
      <c r="AY109" s="42"/>
      <c r="AZ109" s="42"/>
      <c r="BA109" s="42">
        <f t="shared" si="7"/>
        <v>2.5</v>
      </c>
      <c r="BB109" s="43"/>
      <c r="BC109" s="43"/>
      <c r="BD109" s="44">
        <v>5</v>
      </c>
      <c r="BE109" s="44"/>
      <c r="BF109" s="45"/>
      <c r="BG109" s="45">
        <v>3</v>
      </c>
      <c r="BH109" s="45"/>
      <c r="BI109" s="45">
        <f t="shared" si="4"/>
        <v>4</v>
      </c>
    </row>
    <row r="110" spans="1:61" ht="16.5" customHeight="1">
      <c r="A110" s="48">
        <v>109</v>
      </c>
      <c r="B110" s="49" t="b">
        <v>0</v>
      </c>
      <c r="C110" s="37" t="s">
        <v>151</v>
      </c>
      <c r="D110" s="37" t="s">
        <v>85</v>
      </c>
      <c r="E110" s="38" t="s">
        <v>72</v>
      </c>
      <c r="F110" s="38" t="s">
        <v>78</v>
      </c>
      <c r="G110" s="38" t="s">
        <v>64</v>
      </c>
      <c r="H110" s="38">
        <v>2019</v>
      </c>
      <c r="I110" s="39" t="s">
        <v>65</v>
      </c>
      <c r="J110" s="39" t="s">
        <v>87</v>
      </c>
      <c r="K110" s="39" t="s">
        <v>65</v>
      </c>
      <c r="L110" s="39">
        <v>3</v>
      </c>
      <c r="M110" s="39"/>
      <c r="N110" s="39"/>
      <c r="O110" s="39" t="s">
        <v>70</v>
      </c>
      <c r="P110" s="39" t="s">
        <v>70</v>
      </c>
      <c r="Q110" s="40">
        <v>4</v>
      </c>
      <c r="R110" s="40">
        <v>4</v>
      </c>
      <c r="S110" s="40">
        <v>4</v>
      </c>
      <c r="T110" s="40">
        <v>3</v>
      </c>
      <c r="U110" s="40">
        <v>3</v>
      </c>
      <c r="V110" s="40">
        <v>3</v>
      </c>
      <c r="W110" s="40">
        <v>3</v>
      </c>
      <c r="X110" s="40">
        <v>3</v>
      </c>
      <c r="Y110" s="40">
        <v>3</v>
      </c>
      <c r="Z110" s="40">
        <f t="shared" si="5"/>
        <v>3.3333333333333335</v>
      </c>
      <c r="AA110" s="41">
        <v>4</v>
      </c>
      <c r="AB110" s="41">
        <v>3</v>
      </c>
      <c r="AC110" s="41">
        <v>3</v>
      </c>
      <c r="AD110" s="41">
        <v>4</v>
      </c>
      <c r="AE110" s="41">
        <v>4</v>
      </c>
      <c r="AF110" s="41">
        <v>4</v>
      </c>
      <c r="AG110" s="41">
        <v>2</v>
      </c>
      <c r="AH110" s="41">
        <v>2</v>
      </c>
      <c r="AI110" s="41">
        <v>2</v>
      </c>
      <c r="AJ110" s="41">
        <f t="shared" si="6"/>
        <v>3.1111111111111112</v>
      </c>
      <c r="AK110" s="40"/>
      <c r="AL110" s="40"/>
      <c r="AM110" s="40"/>
      <c r="AN110" s="40"/>
      <c r="AO110" s="40"/>
      <c r="AP110" s="40"/>
      <c r="AQ110" s="40"/>
      <c r="AR110" s="40"/>
      <c r="AS110" s="40"/>
      <c r="AT110" s="40"/>
      <c r="AU110" s="40"/>
      <c r="AV110" s="40">
        <v>4</v>
      </c>
      <c r="AW110" s="42">
        <v>3</v>
      </c>
      <c r="AX110" s="42">
        <v>3</v>
      </c>
      <c r="AY110" s="42">
        <v>3</v>
      </c>
      <c r="AZ110" s="42"/>
      <c r="BA110" s="42">
        <f t="shared" si="7"/>
        <v>3</v>
      </c>
      <c r="BB110" s="43">
        <v>3</v>
      </c>
      <c r="BC110" s="43"/>
      <c r="BD110" s="44"/>
      <c r="BE110" s="44"/>
      <c r="BF110" s="45">
        <v>5</v>
      </c>
      <c r="BG110" s="45">
        <v>5</v>
      </c>
      <c r="BH110" s="45">
        <v>5</v>
      </c>
      <c r="BI110" s="45">
        <f t="shared" si="4"/>
        <v>4.5</v>
      </c>
    </row>
    <row r="111" spans="1:61" ht="16.5" customHeight="1">
      <c r="A111" s="48">
        <v>110</v>
      </c>
      <c r="B111" s="49" t="b">
        <v>0</v>
      </c>
      <c r="C111" s="37" t="s">
        <v>151</v>
      </c>
      <c r="D111" s="37" t="s">
        <v>85</v>
      </c>
      <c r="E111" s="38" t="s">
        <v>72</v>
      </c>
      <c r="F111" s="38" t="s">
        <v>74</v>
      </c>
      <c r="G111" s="38" t="s">
        <v>64</v>
      </c>
      <c r="H111" s="38">
        <v>2012</v>
      </c>
      <c r="I111" s="39" t="s">
        <v>65</v>
      </c>
      <c r="J111" s="39" t="s">
        <v>87</v>
      </c>
      <c r="K111" s="39" t="s">
        <v>65</v>
      </c>
      <c r="L111" s="39">
        <v>3</v>
      </c>
      <c r="M111" s="39"/>
      <c r="N111" s="39"/>
      <c r="O111" s="39" t="s">
        <v>70</v>
      </c>
      <c r="P111" s="39" t="s">
        <v>70</v>
      </c>
      <c r="Q111" s="40">
        <v>4</v>
      </c>
      <c r="R111" s="40">
        <v>4</v>
      </c>
      <c r="S111" s="40">
        <v>4</v>
      </c>
      <c r="T111" s="40">
        <v>3</v>
      </c>
      <c r="U111" s="40">
        <v>3</v>
      </c>
      <c r="V111" s="40">
        <v>4</v>
      </c>
      <c r="W111" s="40">
        <v>3</v>
      </c>
      <c r="X111" s="40">
        <v>3</v>
      </c>
      <c r="Y111" s="40">
        <v>3</v>
      </c>
      <c r="Z111" s="40">
        <f t="shared" si="5"/>
        <v>3.4444444444444446</v>
      </c>
      <c r="AA111" s="41">
        <v>3</v>
      </c>
      <c r="AB111" s="41">
        <v>3</v>
      </c>
      <c r="AC111" s="41">
        <v>3</v>
      </c>
      <c r="AD111" s="41">
        <v>3</v>
      </c>
      <c r="AE111" s="41">
        <v>3</v>
      </c>
      <c r="AF111" s="41">
        <v>3</v>
      </c>
      <c r="AG111" s="41">
        <v>3</v>
      </c>
      <c r="AH111" s="41">
        <v>1</v>
      </c>
      <c r="AI111" s="41">
        <v>3</v>
      </c>
      <c r="AJ111" s="41">
        <f t="shared" si="6"/>
        <v>2.7777777777777777</v>
      </c>
      <c r="AK111" s="40"/>
      <c r="AL111" s="40"/>
      <c r="AM111" s="40"/>
      <c r="AN111" s="40"/>
      <c r="AO111" s="40"/>
      <c r="AP111" s="40"/>
      <c r="AQ111" s="40"/>
      <c r="AR111" s="40"/>
      <c r="AS111" s="40"/>
      <c r="AT111" s="40"/>
      <c r="AU111" s="40"/>
      <c r="AV111" s="40">
        <v>1</v>
      </c>
      <c r="AW111" s="42">
        <v>3</v>
      </c>
      <c r="AX111" s="42">
        <v>3</v>
      </c>
      <c r="AY111" s="42">
        <v>3</v>
      </c>
      <c r="AZ111" s="42"/>
      <c r="BA111" s="42">
        <f t="shared" si="7"/>
        <v>3</v>
      </c>
      <c r="BB111" s="43">
        <v>4</v>
      </c>
      <c r="BC111" s="43"/>
      <c r="BD111" s="44"/>
      <c r="BE111" s="44"/>
      <c r="BF111" s="45">
        <v>1</v>
      </c>
      <c r="BG111" s="45">
        <v>5</v>
      </c>
      <c r="BH111" s="45">
        <v>5</v>
      </c>
      <c r="BI111" s="45">
        <f t="shared" si="4"/>
        <v>3.75</v>
      </c>
    </row>
    <row r="112" spans="1:61" ht="16.5" customHeight="1">
      <c r="A112" s="48">
        <v>111</v>
      </c>
      <c r="B112" s="49" t="b">
        <v>0</v>
      </c>
      <c r="C112" s="37" t="s">
        <v>151</v>
      </c>
      <c r="D112" s="37" t="s">
        <v>85</v>
      </c>
      <c r="E112" s="38" t="s">
        <v>72</v>
      </c>
      <c r="F112" s="38" t="s">
        <v>78</v>
      </c>
      <c r="G112" s="38" t="s">
        <v>78</v>
      </c>
      <c r="H112" s="38">
        <v>2011</v>
      </c>
      <c r="I112" s="39" t="s">
        <v>65</v>
      </c>
      <c r="J112" s="39" t="s">
        <v>87</v>
      </c>
      <c r="K112" s="39" t="s">
        <v>65</v>
      </c>
      <c r="L112" s="39">
        <v>3</v>
      </c>
      <c r="M112" s="39"/>
      <c r="N112" s="39"/>
      <c r="O112" s="39" t="s">
        <v>70</v>
      </c>
      <c r="P112" s="39" t="s">
        <v>70</v>
      </c>
      <c r="Q112" s="40">
        <v>3</v>
      </c>
      <c r="R112" s="40">
        <v>3</v>
      </c>
      <c r="S112" s="40">
        <v>3</v>
      </c>
      <c r="T112" s="40">
        <v>3</v>
      </c>
      <c r="U112" s="40">
        <v>3</v>
      </c>
      <c r="V112" s="40">
        <v>3</v>
      </c>
      <c r="W112" s="40">
        <v>3</v>
      </c>
      <c r="X112" s="40">
        <v>3</v>
      </c>
      <c r="Y112" s="40">
        <v>3</v>
      </c>
      <c r="Z112" s="40">
        <f t="shared" si="5"/>
        <v>3</v>
      </c>
      <c r="AA112" s="41">
        <v>3</v>
      </c>
      <c r="AB112" s="41">
        <v>3</v>
      </c>
      <c r="AC112" s="41">
        <v>4</v>
      </c>
      <c r="AD112" s="41">
        <v>4</v>
      </c>
      <c r="AE112" s="41">
        <v>3</v>
      </c>
      <c r="AF112" s="41">
        <v>3</v>
      </c>
      <c r="AG112" s="41">
        <v>3</v>
      </c>
      <c r="AH112" s="41">
        <v>3</v>
      </c>
      <c r="AI112" s="41">
        <v>3</v>
      </c>
      <c r="AJ112" s="41">
        <f t="shared" si="6"/>
        <v>3.2222222222222223</v>
      </c>
      <c r="AK112" s="40"/>
      <c r="AL112" s="40"/>
      <c r="AM112" s="40"/>
      <c r="AN112" s="40"/>
      <c r="AO112" s="40"/>
      <c r="AP112" s="40"/>
      <c r="AQ112" s="40"/>
      <c r="AR112" s="40"/>
      <c r="AS112" s="40"/>
      <c r="AT112" s="40"/>
      <c r="AU112" s="40"/>
      <c r="AV112" s="40">
        <v>3</v>
      </c>
      <c r="AW112" s="42">
        <v>3</v>
      </c>
      <c r="AX112" s="42">
        <v>3</v>
      </c>
      <c r="AY112" s="42">
        <v>3</v>
      </c>
      <c r="AZ112" s="42"/>
      <c r="BA112" s="42">
        <f t="shared" si="7"/>
        <v>3</v>
      </c>
      <c r="BB112" s="43">
        <v>4</v>
      </c>
      <c r="BC112" s="43"/>
      <c r="BD112" s="44"/>
      <c r="BE112" s="44"/>
      <c r="BF112" s="45">
        <v>1</v>
      </c>
      <c r="BG112" s="45">
        <v>4</v>
      </c>
      <c r="BH112" s="45">
        <v>4</v>
      </c>
      <c r="BI112" s="45">
        <f t="shared" si="4"/>
        <v>3.25</v>
      </c>
    </row>
    <row r="113" spans="1:61" ht="16.5" customHeight="1">
      <c r="A113" s="48">
        <v>112</v>
      </c>
      <c r="B113" s="49" t="b">
        <v>0</v>
      </c>
      <c r="C113" s="37" t="s">
        <v>151</v>
      </c>
      <c r="D113" s="37" t="s">
        <v>85</v>
      </c>
      <c r="E113" s="38" t="s">
        <v>72</v>
      </c>
      <c r="F113" s="38" t="s">
        <v>78</v>
      </c>
      <c r="G113" s="38" t="s">
        <v>78</v>
      </c>
      <c r="H113" s="38">
        <v>2015</v>
      </c>
      <c r="I113" s="39" t="s">
        <v>65</v>
      </c>
      <c r="J113" s="39" t="s">
        <v>87</v>
      </c>
      <c r="K113" s="39" t="s">
        <v>65</v>
      </c>
      <c r="L113" s="39">
        <v>3</v>
      </c>
      <c r="M113" s="39"/>
      <c r="N113" s="39"/>
      <c r="O113" s="39" t="s">
        <v>70</v>
      </c>
      <c r="P113" s="39" t="s">
        <v>70</v>
      </c>
      <c r="Q113" s="40">
        <v>4</v>
      </c>
      <c r="R113" s="40">
        <v>4</v>
      </c>
      <c r="S113" s="40">
        <v>4</v>
      </c>
      <c r="T113" s="40">
        <v>4</v>
      </c>
      <c r="U113" s="40">
        <v>3</v>
      </c>
      <c r="V113" s="40">
        <v>4</v>
      </c>
      <c r="W113" s="40">
        <v>3</v>
      </c>
      <c r="X113" s="40">
        <v>2</v>
      </c>
      <c r="Y113" s="40">
        <v>1</v>
      </c>
      <c r="Z113" s="40">
        <f t="shared" si="5"/>
        <v>3.2222222222222223</v>
      </c>
      <c r="AA113" s="41">
        <v>3</v>
      </c>
      <c r="AB113" s="41">
        <v>3</v>
      </c>
      <c r="AC113" s="41">
        <v>4</v>
      </c>
      <c r="AD113" s="41">
        <v>4</v>
      </c>
      <c r="AE113" s="41">
        <v>3</v>
      </c>
      <c r="AF113" s="41">
        <v>3</v>
      </c>
      <c r="AG113" s="41">
        <v>3</v>
      </c>
      <c r="AH113" s="41">
        <v>3</v>
      </c>
      <c r="AI113" s="41">
        <v>3</v>
      </c>
      <c r="AJ113" s="41">
        <f t="shared" si="6"/>
        <v>3.2222222222222223</v>
      </c>
      <c r="AK113" s="40"/>
      <c r="AL113" s="40"/>
      <c r="AM113" s="40"/>
      <c r="AN113" s="40"/>
      <c r="AO113" s="40"/>
      <c r="AP113" s="40"/>
      <c r="AQ113" s="40"/>
      <c r="AR113" s="40"/>
      <c r="AS113" s="40"/>
      <c r="AT113" s="40"/>
      <c r="AU113" s="40"/>
      <c r="AV113" s="40">
        <v>2</v>
      </c>
      <c r="AW113" s="42">
        <v>1</v>
      </c>
      <c r="AX113" s="42">
        <v>2</v>
      </c>
      <c r="AY113" s="42">
        <v>3</v>
      </c>
      <c r="AZ113" s="42"/>
      <c r="BA113" s="42">
        <f t="shared" si="7"/>
        <v>2</v>
      </c>
      <c r="BB113" s="43">
        <v>4</v>
      </c>
      <c r="BC113" s="43"/>
      <c r="BD113" s="44"/>
      <c r="BE113" s="44"/>
      <c r="BF113" s="45">
        <v>5</v>
      </c>
      <c r="BG113" s="45">
        <v>4</v>
      </c>
      <c r="BH113" s="45">
        <v>3</v>
      </c>
      <c r="BI113" s="45">
        <f t="shared" si="4"/>
        <v>4</v>
      </c>
    </row>
    <row r="114" spans="1:61" ht="16.5" customHeight="1">
      <c r="A114" s="48">
        <v>113</v>
      </c>
      <c r="B114" s="49" t="b">
        <v>0</v>
      </c>
      <c r="C114" s="37" t="s">
        <v>151</v>
      </c>
      <c r="D114" s="37" t="s">
        <v>98</v>
      </c>
      <c r="E114" s="38" t="s">
        <v>128</v>
      </c>
      <c r="F114" s="38" t="s">
        <v>63</v>
      </c>
      <c r="G114" s="38" t="s">
        <v>78</v>
      </c>
      <c r="H114" s="38">
        <v>2021</v>
      </c>
      <c r="I114" s="39" t="s">
        <v>65</v>
      </c>
      <c r="J114" s="39" t="s">
        <v>87</v>
      </c>
      <c r="K114" s="39" t="s">
        <v>65</v>
      </c>
      <c r="L114" s="39">
        <v>3</v>
      </c>
      <c r="M114" s="39"/>
      <c r="N114" s="39"/>
      <c r="O114" s="39" t="s">
        <v>70</v>
      </c>
      <c r="P114" s="39" t="s">
        <v>70</v>
      </c>
      <c r="Q114" s="40">
        <v>3</v>
      </c>
      <c r="R114" s="40">
        <v>3</v>
      </c>
      <c r="S114" s="40">
        <v>3</v>
      </c>
      <c r="T114" s="40">
        <v>3</v>
      </c>
      <c r="U114" s="40">
        <v>3</v>
      </c>
      <c r="V114" s="40">
        <v>3</v>
      </c>
      <c r="W114" s="40">
        <v>3</v>
      </c>
      <c r="X114" s="40">
        <v>3</v>
      </c>
      <c r="Y114" s="40">
        <v>3</v>
      </c>
      <c r="Z114" s="40">
        <f t="shared" si="5"/>
        <v>3</v>
      </c>
      <c r="AA114" s="41">
        <v>4</v>
      </c>
      <c r="AB114" s="41">
        <v>3</v>
      </c>
      <c r="AC114" s="41">
        <v>3</v>
      </c>
      <c r="AD114" s="41">
        <v>4</v>
      </c>
      <c r="AE114" s="41">
        <v>4</v>
      </c>
      <c r="AF114" s="41">
        <v>4</v>
      </c>
      <c r="AG114" s="41">
        <v>4</v>
      </c>
      <c r="AH114" s="41">
        <v>4</v>
      </c>
      <c r="AI114" s="41">
        <v>3</v>
      </c>
      <c r="AJ114" s="41">
        <f t="shared" si="6"/>
        <v>3.6666666666666665</v>
      </c>
      <c r="AK114" s="40"/>
      <c r="AL114" s="40"/>
      <c r="AM114" s="40"/>
      <c r="AN114" s="40"/>
      <c r="AO114" s="40"/>
      <c r="AP114" s="40"/>
      <c r="AQ114" s="40"/>
      <c r="AR114" s="40"/>
      <c r="AS114" s="40"/>
      <c r="AT114" s="40"/>
      <c r="AU114" s="40"/>
      <c r="AV114" s="40">
        <v>4</v>
      </c>
      <c r="AW114" s="42">
        <v>3</v>
      </c>
      <c r="AX114" s="42">
        <v>3</v>
      </c>
      <c r="AY114" s="42">
        <v>4</v>
      </c>
      <c r="AZ114" s="42"/>
      <c r="BA114" s="42">
        <f t="shared" si="7"/>
        <v>3.3333333333333335</v>
      </c>
      <c r="BB114" s="43">
        <v>3</v>
      </c>
      <c r="BC114" s="43"/>
      <c r="BD114" s="44"/>
      <c r="BE114" s="44"/>
      <c r="BF114" s="45">
        <v>5</v>
      </c>
      <c r="BG114" s="45">
        <v>5</v>
      </c>
      <c r="BH114" s="45">
        <v>5</v>
      </c>
      <c r="BI114" s="45">
        <f t="shared" si="4"/>
        <v>4.5</v>
      </c>
    </row>
    <row r="115" spans="1:61" ht="16.5" customHeight="1">
      <c r="A115" s="48">
        <v>114</v>
      </c>
      <c r="B115" s="49" t="b">
        <v>1</v>
      </c>
      <c r="C115" s="37" t="s">
        <v>151</v>
      </c>
      <c r="D115" s="37" t="s">
        <v>85</v>
      </c>
      <c r="E115" s="38" t="s">
        <v>72</v>
      </c>
      <c r="F115" s="38" t="s">
        <v>78</v>
      </c>
      <c r="G115" s="38" t="s">
        <v>78</v>
      </c>
      <c r="H115" s="38">
        <v>2022</v>
      </c>
      <c r="I115" s="39" t="s">
        <v>65</v>
      </c>
      <c r="J115" s="39" t="s">
        <v>87</v>
      </c>
      <c r="K115" s="39" t="s">
        <v>65</v>
      </c>
      <c r="L115" s="39">
        <v>3</v>
      </c>
      <c r="M115" s="39"/>
      <c r="N115" s="39"/>
      <c r="O115" s="39" t="s">
        <v>70</v>
      </c>
      <c r="P115" s="39" t="s">
        <v>70</v>
      </c>
      <c r="Q115" s="40">
        <v>4</v>
      </c>
      <c r="R115" s="40">
        <v>4</v>
      </c>
      <c r="S115" s="40">
        <v>4</v>
      </c>
      <c r="T115" s="40">
        <v>3</v>
      </c>
      <c r="U115" s="40">
        <v>3</v>
      </c>
      <c r="V115" s="40">
        <v>4</v>
      </c>
      <c r="W115" s="40">
        <v>3</v>
      </c>
      <c r="X115" s="40">
        <v>4</v>
      </c>
      <c r="Y115" s="40">
        <v>4</v>
      </c>
      <c r="Z115" s="40">
        <f t="shared" si="5"/>
        <v>3.6666666666666665</v>
      </c>
      <c r="AA115" s="41">
        <v>5</v>
      </c>
      <c r="AB115" s="41">
        <v>5</v>
      </c>
      <c r="AC115" s="41">
        <v>5</v>
      </c>
      <c r="AD115" s="41">
        <v>5</v>
      </c>
      <c r="AE115" s="41">
        <v>5</v>
      </c>
      <c r="AF115" s="41">
        <v>5</v>
      </c>
      <c r="AG115" s="41">
        <v>5</v>
      </c>
      <c r="AH115" s="41">
        <v>5</v>
      </c>
      <c r="AI115" s="41">
        <v>4</v>
      </c>
      <c r="AJ115" s="41">
        <f t="shared" si="6"/>
        <v>4.8888888888888893</v>
      </c>
      <c r="AK115" s="40"/>
      <c r="AL115" s="40"/>
      <c r="AM115" s="40"/>
      <c r="AN115" s="40"/>
      <c r="AO115" s="40"/>
      <c r="AP115" s="40"/>
      <c r="AQ115" s="40"/>
      <c r="AR115" s="40"/>
      <c r="AS115" s="40"/>
      <c r="AT115" s="40"/>
      <c r="AU115" s="40"/>
      <c r="AV115" s="40">
        <v>5</v>
      </c>
      <c r="AW115" s="42">
        <v>4</v>
      </c>
      <c r="AX115" s="42">
        <v>4</v>
      </c>
      <c r="AY115" s="42">
        <v>4</v>
      </c>
      <c r="AZ115" s="42"/>
      <c r="BA115" s="42">
        <f t="shared" si="7"/>
        <v>4</v>
      </c>
      <c r="BB115" s="43">
        <v>4</v>
      </c>
      <c r="BC115" s="43"/>
      <c r="BD115" s="44"/>
      <c r="BE115" s="44"/>
      <c r="BF115" s="45">
        <v>5</v>
      </c>
      <c r="BG115" s="45">
        <v>5</v>
      </c>
      <c r="BH115" s="45">
        <v>1</v>
      </c>
      <c r="BI115" s="45">
        <f t="shared" si="4"/>
        <v>3.75</v>
      </c>
    </row>
    <row r="116" spans="1:61" ht="16.5" customHeight="1">
      <c r="A116" s="48">
        <v>115</v>
      </c>
      <c r="B116" s="49" t="b">
        <v>1</v>
      </c>
      <c r="C116" s="37" t="s">
        <v>151</v>
      </c>
      <c r="D116" s="37" t="s">
        <v>134</v>
      </c>
      <c r="E116" s="38" t="s">
        <v>75</v>
      </c>
      <c r="F116" s="38" t="s">
        <v>63</v>
      </c>
      <c r="G116" s="38" t="s">
        <v>64</v>
      </c>
      <c r="H116" s="38">
        <v>2011</v>
      </c>
      <c r="I116" s="39" t="s">
        <v>65</v>
      </c>
      <c r="J116" s="39" t="s">
        <v>87</v>
      </c>
      <c r="K116" s="39"/>
      <c r="L116" s="39">
        <v>2.5</v>
      </c>
      <c r="M116" s="39"/>
      <c r="N116" s="39"/>
      <c r="O116" s="39" t="s">
        <v>70</v>
      </c>
      <c r="P116" s="39" t="s">
        <v>70</v>
      </c>
      <c r="Q116" s="40">
        <v>4</v>
      </c>
      <c r="R116" s="40">
        <v>4</v>
      </c>
      <c r="S116" s="40">
        <v>4</v>
      </c>
      <c r="T116" s="40">
        <v>3</v>
      </c>
      <c r="U116" s="40">
        <v>3</v>
      </c>
      <c r="V116" s="40">
        <v>4</v>
      </c>
      <c r="W116" s="40">
        <v>4</v>
      </c>
      <c r="X116" s="40">
        <v>3</v>
      </c>
      <c r="Y116" s="40">
        <v>3</v>
      </c>
      <c r="Z116" s="40">
        <f t="shared" si="5"/>
        <v>3.5555555555555554</v>
      </c>
      <c r="AA116" s="41">
        <v>3</v>
      </c>
      <c r="AB116" s="41">
        <v>4</v>
      </c>
      <c r="AC116" s="41">
        <v>4</v>
      </c>
      <c r="AD116" s="41">
        <v>4</v>
      </c>
      <c r="AE116" s="41">
        <v>4</v>
      </c>
      <c r="AF116" s="41">
        <v>4</v>
      </c>
      <c r="AG116" s="41">
        <v>4</v>
      </c>
      <c r="AH116" s="41">
        <v>4</v>
      </c>
      <c r="AI116" s="41">
        <v>3</v>
      </c>
      <c r="AJ116" s="41">
        <f t="shared" si="6"/>
        <v>3.7777777777777777</v>
      </c>
      <c r="AK116" s="40"/>
      <c r="AL116" s="40"/>
      <c r="AM116" s="40"/>
      <c r="AN116" s="40"/>
      <c r="AO116" s="40"/>
      <c r="AP116" s="40"/>
      <c r="AQ116" s="40"/>
      <c r="AR116" s="40"/>
      <c r="AS116" s="40"/>
      <c r="AT116" s="40"/>
      <c r="AU116" s="40"/>
      <c r="AV116" s="40">
        <v>5</v>
      </c>
      <c r="AW116" s="42">
        <v>4</v>
      </c>
      <c r="AX116" s="42">
        <v>4</v>
      </c>
      <c r="AY116" s="42">
        <v>4</v>
      </c>
      <c r="AZ116" s="42"/>
      <c r="BA116" s="42">
        <f t="shared" si="7"/>
        <v>4</v>
      </c>
      <c r="BB116" s="43">
        <v>3</v>
      </c>
      <c r="BC116" s="43"/>
      <c r="BD116" s="44"/>
      <c r="BE116" s="44"/>
      <c r="BF116" s="45">
        <v>5</v>
      </c>
      <c r="BG116" s="45">
        <v>5</v>
      </c>
      <c r="BH116" s="45">
        <v>1</v>
      </c>
      <c r="BI116" s="45">
        <f t="shared" si="4"/>
        <v>3.5</v>
      </c>
    </row>
    <row r="117" spans="1:61" ht="16.5" customHeight="1">
      <c r="A117" s="48">
        <v>116</v>
      </c>
      <c r="B117" s="49" t="b">
        <v>0</v>
      </c>
      <c r="C117" s="37" t="s">
        <v>151</v>
      </c>
      <c r="D117" s="37" t="s">
        <v>98</v>
      </c>
      <c r="E117" s="38" t="s">
        <v>96</v>
      </c>
      <c r="F117" s="38" t="s">
        <v>74</v>
      </c>
      <c r="G117" s="38" t="s">
        <v>64</v>
      </c>
      <c r="H117" s="38">
        <v>2014</v>
      </c>
      <c r="I117" s="39" t="s">
        <v>65</v>
      </c>
      <c r="J117" s="39" t="s">
        <v>87</v>
      </c>
      <c r="K117" s="39" t="s">
        <v>65</v>
      </c>
      <c r="L117" s="39">
        <v>3</v>
      </c>
      <c r="M117" s="39"/>
      <c r="N117" s="39"/>
      <c r="O117" s="39" t="s">
        <v>70</v>
      </c>
      <c r="P117" s="39" t="s">
        <v>70</v>
      </c>
      <c r="Q117" s="40">
        <v>5</v>
      </c>
      <c r="R117" s="40">
        <v>4</v>
      </c>
      <c r="S117" s="40">
        <v>4</v>
      </c>
      <c r="T117" s="40">
        <v>4</v>
      </c>
      <c r="U117" s="40">
        <v>4</v>
      </c>
      <c r="V117" s="40"/>
      <c r="W117" s="40">
        <v>3</v>
      </c>
      <c r="X117" s="40">
        <v>3</v>
      </c>
      <c r="Y117" s="40">
        <v>3</v>
      </c>
      <c r="Z117" s="40">
        <f t="shared" si="5"/>
        <v>3.75</v>
      </c>
      <c r="AA117" s="41">
        <v>4</v>
      </c>
      <c r="AB117" s="41">
        <v>2</v>
      </c>
      <c r="AC117" s="41">
        <v>1</v>
      </c>
      <c r="AD117" s="41">
        <v>4</v>
      </c>
      <c r="AE117" s="41">
        <v>3</v>
      </c>
      <c r="AF117" s="41">
        <v>1</v>
      </c>
      <c r="AG117" s="41">
        <v>1</v>
      </c>
      <c r="AH117" s="41">
        <v>3</v>
      </c>
      <c r="AI117" s="41">
        <v>1</v>
      </c>
      <c r="AJ117" s="41">
        <f t="shared" si="6"/>
        <v>2.2222222222222223</v>
      </c>
      <c r="AK117" s="40"/>
      <c r="AL117" s="40"/>
      <c r="AM117" s="40"/>
      <c r="AN117" s="40"/>
      <c r="AO117" s="40"/>
      <c r="AP117" s="40"/>
      <c r="AQ117" s="40"/>
      <c r="AR117" s="40"/>
      <c r="AS117" s="40"/>
      <c r="AT117" s="40"/>
      <c r="AU117" s="40"/>
      <c r="AV117" s="40">
        <v>5</v>
      </c>
      <c r="AW117" s="42">
        <v>3</v>
      </c>
      <c r="AX117" s="42">
        <v>3</v>
      </c>
      <c r="AY117" s="42">
        <v>4</v>
      </c>
      <c r="AZ117" s="42"/>
      <c r="BA117" s="42">
        <f t="shared" si="7"/>
        <v>3.3333333333333335</v>
      </c>
      <c r="BB117" s="43">
        <v>3</v>
      </c>
      <c r="BC117" s="43"/>
      <c r="BD117" s="44"/>
      <c r="BE117" s="44"/>
      <c r="BF117" s="45">
        <v>4</v>
      </c>
      <c r="BG117" s="45">
        <v>5</v>
      </c>
      <c r="BH117" s="45">
        <v>5</v>
      </c>
      <c r="BI117" s="45">
        <f t="shared" si="4"/>
        <v>4.25</v>
      </c>
    </row>
    <row r="118" spans="1:61" ht="16.5" customHeight="1">
      <c r="A118" s="48">
        <v>117</v>
      </c>
      <c r="B118" s="49" t="b">
        <v>1</v>
      </c>
      <c r="C118" s="37" t="s">
        <v>151</v>
      </c>
      <c r="D118" s="37" t="s">
        <v>85</v>
      </c>
      <c r="E118" s="38" t="s">
        <v>152</v>
      </c>
      <c r="F118" s="38" t="s">
        <v>78</v>
      </c>
      <c r="G118" s="38" t="s">
        <v>78</v>
      </c>
      <c r="H118" s="38">
        <v>2018</v>
      </c>
      <c r="I118" s="39" t="s">
        <v>65</v>
      </c>
      <c r="J118" s="39" t="s">
        <v>87</v>
      </c>
      <c r="K118" s="39" t="s">
        <v>65</v>
      </c>
      <c r="L118" s="39">
        <v>3</v>
      </c>
      <c r="M118" s="39"/>
      <c r="N118" s="39"/>
      <c r="O118" s="39" t="s">
        <v>70</v>
      </c>
      <c r="P118" s="39" t="s">
        <v>70</v>
      </c>
      <c r="Q118" s="40">
        <v>4</v>
      </c>
      <c r="R118" s="40">
        <v>4</v>
      </c>
      <c r="S118" s="40">
        <v>4</v>
      </c>
      <c r="T118" s="40">
        <v>3</v>
      </c>
      <c r="U118" s="40">
        <v>3</v>
      </c>
      <c r="V118" s="40">
        <v>4</v>
      </c>
      <c r="W118" s="40">
        <v>4</v>
      </c>
      <c r="X118" s="40">
        <v>4</v>
      </c>
      <c r="Y118" s="40">
        <v>3</v>
      </c>
      <c r="Z118" s="40">
        <f t="shared" si="5"/>
        <v>3.6666666666666665</v>
      </c>
      <c r="AA118" s="41">
        <v>5</v>
      </c>
      <c r="AB118" s="41">
        <v>5</v>
      </c>
      <c r="AC118" s="41">
        <v>5</v>
      </c>
      <c r="AD118" s="41">
        <v>5</v>
      </c>
      <c r="AE118" s="41">
        <v>5</v>
      </c>
      <c r="AF118" s="41">
        <v>5</v>
      </c>
      <c r="AG118" s="41">
        <v>5</v>
      </c>
      <c r="AH118" s="41">
        <v>5</v>
      </c>
      <c r="AI118" s="41">
        <v>4</v>
      </c>
      <c r="AJ118" s="41">
        <f t="shared" si="6"/>
        <v>4.8888888888888893</v>
      </c>
      <c r="AK118" s="40"/>
      <c r="AL118" s="40"/>
      <c r="AM118" s="40"/>
      <c r="AN118" s="40"/>
      <c r="AO118" s="40"/>
      <c r="AP118" s="40"/>
      <c r="AQ118" s="40"/>
      <c r="AR118" s="40"/>
      <c r="AS118" s="40"/>
      <c r="AT118" s="40"/>
      <c r="AU118" s="40"/>
      <c r="AV118" s="40">
        <v>5</v>
      </c>
      <c r="AW118" s="42">
        <v>4</v>
      </c>
      <c r="AX118" s="42">
        <v>5</v>
      </c>
      <c r="AY118" s="42">
        <v>5</v>
      </c>
      <c r="AZ118" s="42"/>
      <c r="BA118" s="42">
        <f t="shared" si="7"/>
        <v>4.666666666666667</v>
      </c>
      <c r="BB118" s="43">
        <v>4</v>
      </c>
      <c r="BC118" s="43"/>
      <c r="BD118" s="44"/>
      <c r="BE118" s="44"/>
      <c r="BF118" s="45">
        <v>5</v>
      </c>
      <c r="BG118" s="45">
        <v>5</v>
      </c>
      <c r="BH118" s="45">
        <v>5</v>
      </c>
      <c r="BI118" s="45">
        <f t="shared" si="4"/>
        <v>4.75</v>
      </c>
    </row>
    <row r="119" spans="1:61" ht="16.5" customHeight="1">
      <c r="A119" s="48">
        <v>118</v>
      </c>
      <c r="B119" s="49" t="b">
        <v>0</v>
      </c>
      <c r="C119" s="37" t="s">
        <v>151</v>
      </c>
      <c r="D119" s="37" t="s">
        <v>98</v>
      </c>
      <c r="E119" s="38" t="s">
        <v>132</v>
      </c>
      <c r="F119" s="38" t="s">
        <v>105</v>
      </c>
      <c r="G119" s="38" t="s">
        <v>64</v>
      </c>
      <c r="H119" s="38">
        <v>2009</v>
      </c>
      <c r="I119" s="39" t="s">
        <v>65</v>
      </c>
      <c r="J119" s="39" t="s">
        <v>87</v>
      </c>
      <c r="K119" s="39" t="s">
        <v>65</v>
      </c>
      <c r="L119" s="39">
        <v>3</v>
      </c>
      <c r="M119" s="39"/>
      <c r="N119" s="39"/>
      <c r="O119" s="39" t="s">
        <v>70</v>
      </c>
      <c r="P119" s="39" t="s">
        <v>70</v>
      </c>
      <c r="Q119" s="40">
        <v>4</v>
      </c>
      <c r="R119" s="40">
        <v>4</v>
      </c>
      <c r="S119" s="40">
        <v>4</v>
      </c>
      <c r="T119" s="40">
        <v>4</v>
      </c>
      <c r="U119" s="40">
        <v>4</v>
      </c>
      <c r="V119" s="40">
        <v>1</v>
      </c>
      <c r="W119" s="40">
        <v>4</v>
      </c>
      <c r="X119" s="40">
        <v>4</v>
      </c>
      <c r="Y119" s="40">
        <v>1</v>
      </c>
      <c r="Z119" s="40">
        <f t="shared" si="5"/>
        <v>3.3333333333333335</v>
      </c>
      <c r="AA119" s="41">
        <v>2</v>
      </c>
      <c r="AB119" s="41">
        <v>2</v>
      </c>
      <c r="AC119" s="41">
        <v>2</v>
      </c>
      <c r="AD119" s="41">
        <v>2</v>
      </c>
      <c r="AE119" s="41">
        <v>2</v>
      </c>
      <c r="AF119" s="41">
        <v>1</v>
      </c>
      <c r="AG119" s="41">
        <v>2</v>
      </c>
      <c r="AH119" s="41">
        <v>1</v>
      </c>
      <c r="AI119" s="41"/>
      <c r="AJ119" s="41">
        <f t="shared" si="6"/>
        <v>1.75</v>
      </c>
      <c r="AK119" s="40"/>
      <c r="AL119" s="40"/>
      <c r="AM119" s="40"/>
      <c r="AN119" s="40"/>
      <c r="AO119" s="40"/>
      <c r="AP119" s="40"/>
      <c r="AQ119" s="40"/>
      <c r="AR119" s="40"/>
      <c r="AS119" s="40"/>
      <c r="AT119" s="40"/>
      <c r="AU119" s="40"/>
      <c r="AV119" s="40">
        <v>2</v>
      </c>
      <c r="AW119" s="42">
        <v>3</v>
      </c>
      <c r="AX119" s="42">
        <v>1</v>
      </c>
      <c r="AY119" s="42">
        <v>1</v>
      </c>
      <c r="AZ119" s="42"/>
      <c r="BA119" s="42">
        <f t="shared" si="7"/>
        <v>1.6666666666666667</v>
      </c>
      <c r="BB119" s="43">
        <v>4</v>
      </c>
      <c r="BC119" s="43"/>
      <c r="BD119" s="44"/>
      <c r="BE119" s="44"/>
      <c r="BF119" s="45">
        <v>4</v>
      </c>
      <c r="BG119" s="45">
        <v>4</v>
      </c>
      <c r="BH119" s="45">
        <v>4</v>
      </c>
      <c r="BI119" s="45">
        <f t="shared" si="4"/>
        <v>4</v>
      </c>
    </row>
    <row r="120" spans="1:61" ht="16.5" customHeight="1">
      <c r="A120" s="48">
        <v>119</v>
      </c>
      <c r="B120" s="49" t="b">
        <v>0</v>
      </c>
      <c r="C120" s="37" t="s">
        <v>151</v>
      </c>
      <c r="D120" s="37" t="s">
        <v>85</v>
      </c>
      <c r="E120" s="38" t="s">
        <v>72</v>
      </c>
      <c r="F120" s="38" t="s">
        <v>74</v>
      </c>
      <c r="G120" s="38" t="s">
        <v>64</v>
      </c>
      <c r="H120" s="38">
        <v>2016</v>
      </c>
      <c r="I120" s="39" t="s">
        <v>65</v>
      </c>
      <c r="J120" s="39" t="s">
        <v>87</v>
      </c>
      <c r="K120" s="39" t="s">
        <v>65</v>
      </c>
      <c r="L120" s="39">
        <v>3</v>
      </c>
      <c r="M120" s="39"/>
      <c r="N120" s="39"/>
      <c r="O120" s="39" t="s">
        <v>70</v>
      </c>
      <c r="P120" s="39" t="s">
        <v>70</v>
      </c>
      <c r="Q120" s="40">
        <v>4</v>
      </c>
      <c r="R120" s="40">
        <v>4</v>
      </c>
      <c r="S120" s="40">
        <v>4</v>
      </c>
      <c r="T120" s="40">
        <v>4</v>
      </c>
      <c r="U120" s="40">
        <v>4</v>
      </c>
      <c r="V120" s="40">
        <v>3</v>
      </c>
      <c r="W120" s="40">
        <v>3</v>
      </c>
      <c r="X120" s="40">
        <v>3</v>
      </c>
      <c r="Y120" s="40">
        <v>3</v>
      </c>
      <c r="Z120" s="40">
        <f t="shared" si="5"/>
        <v>3.5555555555555554</v>
      </c>
      <c r="AA120" s="41">
        <v>3</v>
      </c>
      <c r="AB120" s="41">
        <v>3</v>
      </c>
      <c r="AC120" s="41">
        <v>4</v>
      </c>
      <c r="AD120" s="41">
        <v>3</v>
      </c>
      <c r="AE120" s="41">
        <v>4</v>
      </c>
      <c r="AF120" s="41">
        <v>4</v>
      </c>
      <c r="AG120" s="41">
        <v>4</v>
      </c>
      <c r="AH120" s="41">
        <v>3</v>
      </c>
      <c r="AI120" s="41">
        <v>4</v>
      </c>
      <c r="AJ120" s="41">
        <f t="shared" si="6"/>
        <v>3.5555555555555554</v>
      </c>
      <c r="AK120" s="40"/>
      <c r="AL120" s="40"/>
      <c r="AM120" s="40"/>
      <c r="AN120" s="40"/>
      <c r="AO120" s="40"/>
      <c r="AP120" s="40"/>
      <c r="AQ120" s="40"/>
      <c r="AR120" s="40"/>
      <c r="AS120" s="40"/>
      <c r="AT120" s="40"/>
      <c r="AU120" s="40"/>
      <c r="AV120" s="40">
        <v>4</v>
      </c>
      <c r="AW120" s="42">
        <v>1</v>
      </c>
      <c r="AX120" s="42">
        <v>4</v>
      </c>
      <c r="AY120" s="42">
        <v>4</v>
      </c>
      <c r="AZ120" s="42"/>
      <c r="BA120" s="42">
        <f t="shared" si="7"/>
        <v>3</v>
      </c>
      <c r="BB120" s="43">
        <v>4</v>
      </c>
      <c r="BC120" s="43"/>
      <c r="BD120" s="44"/>
      <c r="BE120" s="44"/>
      <c r="BF120" s="45">
        <v>4</v>
      </c>
      <c r="BG120" s="45">
        <v>4</v>
      </c>
      <c r="BH120" s="45">
        <v>4</v>
      </c>
      <c r="BI120" s="45">
        <f t="shared" si="4"/>
        <v>4</v>
      </c>
    </row>
    <row r="121" spans="1:61" ht="16.5" customHeight="1">
      <c r="A121" s="48">
        <v>120</v>
      </c>
      <c r="B121" s="49" t="b">
        <v>0</v>
      </c>
      <c r="C121" s="37" t="s">
        <v>151</v>
      </c>
      <c r="D121" s="37" t="s">
        <v>85</v>
      </c>
      <c r="E121" s="38" t="s">
        <v>132</v>
      </c>
      <c r="F121" s="38" t="s">
        <v>63</v>
      </c>
      <c r="G121" s="38" t="s">
        <v>64</v>
      </c>
      <c r="H121" s="38">
        <v>2016</v>
      </c>
      <c r="I121" s="39" t="s">
        <v>65</v>
      </c>
      <c r="J121" s="39" t="s">
        <v>87</v>
      </c>
      <c r="K121" s="39" t="s">
        <v>65</v>
      </c>
      <c r="L121" s="39">
        <v>3</v>
      </c>
      <c r="M121" s="39"/>
      <c r="N121" s="39"/>
      <c r="O121" s="39" t="s">
        <v>70</v>
      </c>
      <c r="P121" s="39" t="s">
        <v>70</v>
      </c>
      <c r="Q121" s="40">
        <v>4</v>
      </c>
      <c r="R121" s="40">
        <v>4</v>
      </c>
      <c r="S121" s="40">
        <v>4</v>
      </c>
      <c r="T121" s="40">
        <v>4</v>
      </c>
      <c r="U121" s="40">
        <v>4</v>
      </c>
      <c r="V121" s="40">
        <v>4</v>
      </c>
      <c r="W121" s="40">
        <v>4</v>
      </c>
      <c r="X121" s="40">
        <v>4</v>
      </c>
      <c r="Y121" s="40">
        <v>4</v>
      </c>
      <c r="Z121" s="40">
        <f t="shared" si="5"/>
        <v>4</v>
      </c>
      <c r="AA121" s="41">
        <v>4</v>
      </c>
      <c r="AB121" s="41">
        <v>4</v>
      </c>
      <c r="AC121" s="41">
        <v>4</v>
      </c>
      <c r="AD121" s="41">
        <v>4</v>
      </c>
      <c r="AE121" s="41">
        <v>4</v>
      </c>
      <c r="AF121" s="41">
        <v>4</v>
      </c>
      <c r="AG121" s="41">
        <v>4</v>
      </c>
      <c r="AH121" s="41">
        <v>4</v>
      </c>
      <c r="AI121" s="41">
        <v>4</v>
      </c>
      <c r="AJ121" s="41">
        <f t="shared" si="6"/>
        <v>4</v>
      </c>
      <c r="AK121" s="40"/>
      <c r="AL121" s="40"/>
      <c r="AM121" s="40"/>
      <c r="AN121" s="40"/>
      <c r="AO121" s="40"/>
      <c r="AP121" s="40"/>
      <c r="AQ121" s="40"/>
      <c r="AR121" s="40"/>
      <c r="AS121" s="40"/>
      <c r="AT121" s="40"/>
      <c r="AU121" s="40"/>
      <c r="AV121" s="40">
        <v>2</v>
      </c>
      <c r="AW121" s="42">
        <v>3</v>
      </c>
      <c r="AX121" s="42">
        <v>4</v>
      </c>
      <c r="AY121" s="42">
        <v>4</v>
      </c>
      <c r="AZ121" s="42"/>
      <c r="BA121" s="42">
        <f t="shared" si="7"/>
        <v>3.6666666666666665</v>
      </c>
      <c r="BB121" s="43">
        <v>4</v>
      </c>
      <c r="BC121" s="43"/>
      <c r="BD121" s="44"/>
      <c r="BE121" s="44"/>
      <c r="BF121" s="45">
        <v>5</v>
      </c>
      <c r="BG121" s="45">
        <v>5</v>
      </c>
      <c r="BH121" s="45">
        <v>5</v>
      </c>
      <c r="BI121" s="45">
        <f t="shared" si="4"/>
        <v>4.75</v>
      </c>
    </row>
    <row r="122" spans="1:61" ht="16.5" customHeight="1">
      <c r="A122" s="48">
        <v>121</v>
      </c>
      <c r="B122" s="49" t="b">
        <v>1</v>
      </c>
      <c r="C122" s="37" t="s">
        <v>151</v>
      </c>
      <c r="D122" s="37" t="s">
        <v>98</v>
      </c>
      <c r="E122" s="38" t="s">
        <v>82</v>
      </c>
      <c r="F122" s="38" t="s">
        <v>78</v>
      </c>
      <c r="G122" s="38" t="s">
        <v>64</v>
      </c>
      <c r="H122" s="38">
        <v>2019</v>
      </c>
      <c r="I122" s="39" t="s">
        <v>65</v>
      </c>
      <c r="J122" s="39" t="s">
        <v>87</v>
      </c>
      <c r="K122" s="39" t="s">
        <v>65</v>
      </c>
      <c r="L122" s="39">
        <v>3</v>
      </c>
      <c r="M122" s="39"/>
      <c r="N122" s="39"/>
      <c r="O122" s="39" t="s">
        <v>70</v>
      </c>
      <c r="P122" s="39" t="s">
        <v>70</v>
      </c>
      <c r="Q122" s="40">
        <v>4</v>
      </c>
      <c r="R122" s="40">
        <v>4</v>
      </c>
      <c r="S122" s="40">
        <v>4</v>
      </c>
      <c r="T122" s="40">
        <v>4</v>
      </c>
      <c r="U122" s="40">
        <v>4</v>
      </c>
      <c r="V122" s="40">
        <v>4</v>
      </c>
      <c r="W122" s="40">
        <v>4</v>
      </c>
      <c r="X122" s="40">
        <v>3</v>
      </c>
      <c r="Y122" s="40">
        <v>3</v>
      </c>
      <c r="Z122" s="40">
        <f t="shared" si="5"/>
        <v>3.7777777777777777</v>
      </c>
      <c r="AA122" s="41">
        <v>4</v>
      </c>
      <c r="AB122" s="41">
        <v>4</v>
      </c>
      <c r="AC122" s="41">
        <v>5</v>
      </c>
      <c r="AD122" s="41">
        <v>3</v>
      </c>
      <c r="AE122" s="41">
        <v>3</v>
      </c>
      <c r="AF122" s="41">
        <v>4</v>
      </c>
      <c r="AG122" s="41">
        <v>3</v>
      </c>
      <c r="AH122" s="41">
        <v>4</v>
      </c>
      <c r="AI122" s="41">
        <v>4</v>
      </c>
      <c r="AJ122" s="41">
        <f t="shared" si="6"/>
        <v>3.7777777777777777</v>
      </c>
      <c r="AK122" s="40"/>
      <c r="AL122" s="40"/>
      <c r="AM122" s="40"/>
      <c r="AN122" s="40"/>
      <c r="AO122" s="40"/>
      <c r="AP122" s="40"/>
      <c r="AQ122" s="40"/>
      <c r="AR122" s="40"/>
      <c r="AS122" s="40"/>
      <c r="AT122" s="40"/>
      <c r="AU122" s="40"/>
      <c r="AV122" s="40">
        <v>4</v>
      </c>
      <c r="AW122" s="42">
        <v>4</v>
      </c>
      <c r="AX122" s="42">
        <v>4</v>
      </c>
      <c r="AY122" s="42">
        <v>4</v>
      </c>
      <c r="AZ122" s="42"/>
      <c r="BA122" s="42">
        <f t="shared" si="7"/>
        <v>4</v>
      </c>
      <c r="BB122" s="43">
        <v>4</v>
      </c>
      <c r="BC122" s="43"/>
      <c r="BD122" s="44"/>
      <c r="BE122" s="44"/>
      <c r="BF122" s="45">
        <v>5</v>
      </c>
      <c r="BG122" s="45">
        <v>5</v>
      </c>
      <c r="BH122" s="45">
        <v>5</v>
      </c>
      <c r="BI122" s="45">
        <f t="shared" si="4"/>
        <v>4.75</v>
      </c>
    </row>
    <row r="123" spans="1:61" ht="16.5" customHeight="1">
      <c r="A123" s="48">
        <v>122</v>
      </c>
      <c r="B123" s="49" t="b">
        <v>1</v>
      </c>
      <c r="C123" s="37" t="s">
        <v>151</v>
      </c>
      <c r="D123" s="37" t="s">
        <v>85</v>
      </c>
      <c r="E123" s="38" t="s">
        <v>96</v>
      </c>
      <c r="F123" s="38" t="s">
        <v>63</v>
      </c>
      <c r="G123" s="38" t="s">
        <v>78</v>
      </c>
      <c r="H123" s="38">
        <v>2016</v>
      </c>
      <c r="I123" s="39" t="s">
        <v>65</v>
      </c>
      <c r="J123" s="39" t="s">
        <v>87</v>
      </c>
      <c r="K123" s="39" t="s">
        <v>65</v>
      </c>
      <c r="L123" s="39">
        <v>3</v>
      </c>
      <c r="M123" s="39"/>
      <c r="N123" s="39"/>
      <c r="O123" s="39" t="s">
        <v>70</v>
      </c>
      <c r="P123" s="39" t="s">
        <v>70</v>
      </c>
      <c r="Q123" s="40">
        <v>4</v>
      </c>
      <c r="R123" s="40">
        <v>4</v>
      </c>
      <c r="S123" s="40">
        <v>4</v>
      </c>
      <c r="T123" s="40">
        <v>4</v>
      </c>
      <c r="U123" s="40">
        <v>4</v>
      </c>
      <c r="V123" s="40">
        <v>4</v>
      </c>
      <c r="W123" s="40">
        <v>3</v>
      </c>
      <c r="X123" s="40">
        <v>3</v>
      </c>
      <c r="Y123" s="40">
        <v>4</v>
      </c>
      <c r="Z123" s="40">
        <f t="shared" si="5"/>
        <v>3.7777777777777777</v>
      </c>
      <c r="AA123" s="41">
        <v>4</v>
      </c>
      <c r="AB123" s="41">
        <v>4</v>
      </c>
      <c r="AC123" s="41">
        <v>4</v>
      </c>
      <c r="AD123" s="41">
        <v>4</v>
      </c>
      <c r="AE123" s="41">
        <v>4</v>
      </c>
      <c r="AF123" s="41">
        <v>4</v>
      </c>
      <c r="AG123" s="41">
        <v>4</v>
      </c>
      <c r="AH123" s="41">
        <v>4</v>
      </c>
      <c r="AI123" s="41">
        <v>5</v>
      </c>
      <c r="AJ123" s="41">
        <f t="shared" si="6"/>
        <v>4.1111111111111107</v>
      </c>
      <c r="AK123" s="40"/>
      <c r="AL123" s="40"/>
      <c r="AM123" s="40"/>
      <c r="AN123" s="40"/>
      <c r="AO123" s="40"/>
      <c r="AP123" s="40"/>
      <c r="AQ123" s="40"/>
      <c r="AR123" s="40"/>
      <c r="AS123" s="40"/>
      <c r="AT123" s="40"/>
      <c r="AU123" s="40"/>
      <c r="AV123" s="40">
        <v>3</v>
      </c>
      <c r="AW123" s="42">
        <v>4</v>
      </c>
      <c r="AX123" s="42">
        <v>4</v>
      </c>
      <c r="AY123" s="42">
        <v>4</v>
      </c>
      <c r="AZ123" s="42"/>
      <c r="BA123" s="42">
        <f t="shared" si="7"/>
        <v>4</v>
      </c>
      <c r="BB123" s="43">
        <v>3</v>
      </c>
      <c r="BC123" s="43"/>
      <c r="BD123" s="44"/>
      <c r="BE123" s="44"/>
      <c r="BF123" s="45">
        <v>5</v>
      </c>
      <c r="BG123" s="45">
        <v>5</v>
      </c>
      <c r="BH123" s="45">
        <v>5</v>
      </c>
      <c r="BI123" s="45">
        <f t="shared" si="4"/>
        <v>4.5</v>
      </c>
    </row>
    <row r="124" spans="1:61" ht="16.5" customHeight="1">
      <c r="A124" s="48">
        <v>123</v>
      </c>
      <c r="B124" s="49" t="b">
        <v>1</v>
      </c>
      <c r="C124" s="37" t="s">
        <v>151</v>
      </c>
      <c r="D124" s="37" t="s">
        <v>98</v>
      </c>
      <c r="E124" s="38" t="s">
        <v>72</v>
      </c>
      <c r="F124" s="38" t="s">
        <v>105</v>
      </c>
      <c r="G124" s="38" t="s">
        <v>78</v>
      </c>
      <c r="H124" s="38">
        <v>2019</v>
      </c>
      <c r="I124" s="39" t="s">
        <v>65</v>
      </c>
      <c r="J124" s="39" t="s">
        <v>87</v>
      </c>
      <c r="K124" s="39" t="s">
        <v>65</v>
      </c>
      <c r="L124" s="39">
        <v>3</v>
      </c>
      <c r="M124" s="39"/>
      <c r="N124" s="39"/>
      <c r="O124" s="39" t="s">
        <v>70</v>
      </c>
      <c r="P124" s="39" t="s">
        <v>70</v>
      </c>
      <c r="Q124" s="40">
        <v>5</v>
      </c>
      <c r="R124" s="40">
        <v>4</v>
      </c>
      <c r="S124" s="40">
        <v>4</v>
      </c>
      <c r="T124" s="40">
        <v>4</v>
      </c>
      <c r="U124" s="40">
        <v>4</v>
      </c>
      <c r="V124" s="40">
        <v>4</v>
      </c>
      <c r="W124" s="40">
        <v>3</v>
      </c>
      <c r="X124" s="40">
        <v>4</v>
      </c>
      <c r="Y124" s="40">
        <v>3</v>
      </c>
      <c r="Z124" s="40">
        <f t="shared" si="5"/>
        <v>3.8888888888888888</v>
      </c>
      <c r="AA124" s="41">
        <v>5</v>
      </c>
      <c r="AB124" s="41">
        <v>2</v>
      </c>
      <c r="AC124" s="41"/>
      <c r="AD124" s="41">
        <v>4</v>
      </c>
      <c r="AE124" s="41">
        <v>4</v>
      </c>
      <c r="AF124" s="41">
        <v>5</v>
      </c>
      <c r="AG124" s="41">
        <v>2</v>
      </c>
      <c r="AH124" s="41">
        <v>2</v>
      </c>
      <c r="AI124" s="41">
        <v>2</v>
      </c>
      <c r="AJ124" s="41">
        <f t="shared" si="6"/>
        <v>3.25</v>
      </c>
      <c r="AK124" s="40"/>
      <c r="AL124" s="40"/>
      <c r="AM124" s="40"/>
      <c r="AN124" s="40"/>
      <c r="AO124" s="40"/>
      <c r="AP124" s="40"/>
      <c r="AQ124" s="40"/>
      <c r="AR124" s="40"/>
      <c r="AS124" s="40"/>
      <c r="AT124" s="40"/>
      <c r="AU124" s="40"/>
      <c r="AV124" s="40">
        <v>4</v>
      </c>
      <c r="AW124" s="42">
        <v>4</v>
      </c>
      <c r="AX124" s="42">
        <v>3</v>
      </c>
      <c r="AY124" s="42">
        <v>4</v>
      </c>
      <c r="AZ124" s="42"/>
      <c r="BA124" s="42">
        <f t="shared" si="7"/>
        <v>3.6666666666666665</v>
      </c>
      <c r="BB124" s="43">
        <v>4</v>
      </c>
      <c r="BC124" s="43"/>
      <c r="BD124" s="44"/>
      <c r="BE124" s="44"/>
      <c r="BF124" s="45">
        <v>5</v>
      </c>
      <c r="BG124" s="45">
        <v>5</v>
      </c>
      <c r="BH124" s="45">
        <v>5</v>
      </c>
      <c r="BI124" s="45">
        <f t="shared" si="4"/>
        <v>4.75</v>
      </c>
    </row>
    <row r="125" spans="1:61" ht="16.5" customHeight="1">
      <c r="A125" s="48">
        <v>124</v>
      </c>
      <c r="B125" s="49" t="b">
        <v>1</v>
      </c>
      <c r="C125" s="37" t="s">
        <v>114</v>
      </c>
      <c r="D125" s="37" t="s">
        <v>153</v>
      </c>
      <c r="E125" s="38" t="s">
        <v>96</v>
      </c>
      <c r="F125" s="38" t="s">
        <v>63</v>
      </c>
      <c r="G125" s="38"/>
      <c r="H125" s="38"/>
      <c r="I125" s="39" t="s">
        <v>65</v>
      </c>
      <c r="J125" s="39" t="s">
        <v>87</v>
      </c>
      <c r="K125" s="39" t="s">
        <v>69</v>
      </c>
      <c r="L125" s="39">
        <v>3</v>
      </c>
      <c r="M125" s="39"/>
      <c r="N125" s="39"/>
      <c r="O125" s="39" t="s">
        <v>70</v>
      </c>
      <c r="P125" s="39"/>
      <c r="Q125" s="40">
        <v>5</v>
      </c>
      <c r="R125" s="40">
        <v>4</v>
      </c>
      <c r="S125" s="40">
        <v>4</v>
      </c>
      <c r="T125" s="40">
        <v>4</v>
      </c>
      <c r="U125" s="40">
        <v>3</v>
      </c>
      <c r="V125" s="40">
        <v>3</v>
      </c>
      <c r="W125" s="40">
        <v>2</v>
      </c>
      <c r="X125" s="40">
        <v>3</v>
      </c>
      <c r="Y125" s="40">
        <v>3</v>
      </c>
      <c r="Z125" s="40">
        <f t="shared" si="5"/>
        <v>3.4444444444444446</v>
      </c>
      <c r="AA125" s="41">
        <v>4</v>
      </c>
      <c r="AB125" s="41">
        <v>4</v>
      </c>
      <c r="AC125" s="41">
        <v>4</v>
      </c>
      <c r="AD125" s="41">
        <v>4</v>
      </c>
      <c r="AE125" s="41">
        <v>4</v>
      </c>
      <c r="AF125" s="41">
        <v>4</v>
      </c>
      <c r="AG125" s="41">
        <v>4</v>
      </c>
      <c r="AH125" s="41">
        <v>4</v>
      </c>
      <c r="AI125" s="41">
        <v>4</v>
      </c>
      <c r="AJ125" s="41">
        <f t="shared" si="6"/>
        <v>4</v>
      </c>
      <c r="AK125" s="40"/>
      <c r="AL125" s="40"/>
      <c r="AM125" s="40"/>
      <c r="AN125" s="40"/>
      <c r="AO125" s="40"/>
      <c r="AP125" s="40"/>
      <c r="AQ125" s="40"/>
      <c r="AR125" s="40"/>
      <c r="AS125" s="40"/>
      <c r="AT125" s="40"/>
      <c r="AU125" s="40"/>
      <c r="AV125" s="40">
        <v>4</v>
      </c>
      <c r="AW125" s="42">
        <v>3</v>
      </c>
      <c r="AX125" s="42">
        <v>5</v>
      </c>
      <c r="AY125" s="42">
        <v>5</v>
      </c>
      <c r="AZ125" s="42"/>
      <c r="BA125" s="42">
        <f t="shared" si="7"/>
        <v>4.333333333333333</v>
      </c>
      <c r="BB125" s="43">
        <v>3</v>
      </c>
      <c r="BC125" s="43"/>
      <c r="BD125" s="44"/>
      <c r="BE125" s="44"/>
      <c r="BF125" s="45">
        <v>5</v>
      </c>
      <c r="BG125" s="45">
        <v>5</v>
      </c>
      <c r="BH125" s="45">
        <v>5</v>
      </c>
      <c r="BI125" s="45">
        <f t="shared" si="4"/>
        <v>4.5</v>
      </c>
    </row>
    <row r="126" spans="1:61" ht="16.5" customHeight="1">
      <c r="A126" s="48">
        <v>125</v>
      </c>
      <c r="B126" s="49" t="b">
        <v>0</v>
      </c>
      <c r="C126" s="37" t="s">
        <v>119</v>
      </c>
      <c r="D126" s="47" t="s">
        <v>120</v>
      </c>
      <c r="E126" s="38" t="s">
        <v>62</v>
      </c>
      <c r="F126" s="38" t="s">
        <v>78</v>
      </c>
      <c r="G126" s="38" t="s">
        <v>64</v>
      </c>
      <c r="H126" s="38"/>
      <c r="I126" s="46" t="s">
        <v>69</v>
      </c>
      <c r="J126" s="39" t="s">
        <v>83</v>
      </c>
      <c r="K126" s="39" t="s">
        <v>65</v>
      </c>
      <c r="L126" s="39" t="s">
        <v>92</v>
      </c>
      <c r="M126" s="39" t="s">
        <v>70</v>
      </c>
      <c r="N126" s="39"/>
      <c r="O126" s="39"/>
      <c r="P126" s="39"/>
      <c r="Q126" s="40">
        <v>4</v>
      </c>
      <c r="R126" s="40">
        <v>3</v>
      </c>
      <c r="S126" s="40">
        <v>3</v>
      </c>
      <c r="T126" s="40">
        <v>3</v>
      </c>
      <c r="U126" s="40">
        <v>3</v>
      </c>
      <c r="V126" s="40">
        <v>3</v>
      </c>
      <c r="W126" s="40">
        <v>3</v>
      </c>
      <c r="X126" s="40">
        <v>3</v>
      </c>
      <c r="Y126" s="40">
        <v>4</v>
      </c>
      <c r="Z126" s="40">
        <f t="shared" si="5"/>
        <v>3.2222222222222223</v>
      </c>
      <c r="AA126" s="41">
        <v>1</v>
      </c>
      <c r="AB126" s="41">
        <v>1</v>
      </c>
      <c r="AC126" s="41">
        <v>1</v>
      </c>
      <c r="AD126" s="41">
        <v>1</v>
      </c>
      <c r="AE126" s="41">
        <v>1</v>
      </c>
      <c r="AF126" s="41">
        <v>1</v>
      </c>
      <c r="AG126" s="41">
        <v>1</v>
      </c>
      <c r="AH126" s="41">
        <v>1</v>
      </c>
      <c r="AI126" s="41">
        <v>1</v>
      </c>
      <c r="AJ126" s="41">
        <f t="shared" si="6"/>
        <v>1</v>
      </c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  <c r="AV126" s="40">
        <v>2</v>
      </c>
      <c r="AW126" s="42">
        <v>3</v>
      </c>
      <c r="AX126" s="42">
        <v>4</v>
      </c>
      <c r="AY126" s="42"/>
      <c r="AZ126" s="42"/>
      <c r="BA126" s="42">
        <f t="shared" si="7"/>
        <v>3.5</v>
      </c>
      <c r="BB126" s="43">
        <v>3</v>
      </c>
      <c r="BC126" s="43">
        <v>3</v>
      </c>
      <c r="BD126" s="44">
        <v>4</v>
      </c>
      <c r="BE126" s="44">
        <v>4</v>
      </c>
      <c r="BF126" s="45">
        <v>4</v>
      </c>
      <c r="BG126" s="45">
        <v>4</v>
      </c>
      <c r="BH126" s="45"/>
      <c r="BI126" s="45">
        <f t="shared" si="4"/>
        <v>3.6666666666666665</v>
      </c>
    </row>
    <row r="127" spans="1:61" ht="16.5" customHeight="1">
      <c r="A127" s="48">
        <v>126</v>
      </c>
      <c r="B127" s="49" t="b">
        <v>1</v>
      </c>
      <c r="C127" s="37" t="s">
        <v>138</v>
      </c>
      <c r="D127" s="37" t="s">
        <v>85</v>
      </c>
      <c r="E127" s="38" t="s">
        <v>96</v>
      </c>
      <c r="F127" s="38" t="s">
        <v>63</v>
      </c>
      <c r="G127" s="38" t="s">
        <v>64</v>
      </c>
      <c r="H127" s="38"/>
      <c r="I127" s="39" t="s">
        <v>65</v>
      </c>
      <c r="J127" s="39" t="s">
        <v>87</v>
      </c>
      <c r="K127" s="39" t="s">
        <v>65</v>
      </c>
      <c r="L127" s="39">
        <v>3</v>
      </c>
      <c r="M127" s="39"/>
      <c r="N127" s="39"/>
      <c r="O127" s="39" t="s">
        <v>70</v>
      </c>
      <c r="P127" s="39" t="s">
        <v>70</v>
      </c>
      <c r="Q127" s="40">
        <v>3</v>
      </c>
      <c r="R127" s="40">
        <v>3</v>
      </c>
      <c r="S127" s="40">
        <v>2</v>
      </c>
      <c r="T127" s="40">
        <v>3</v>
      </c>
      <c r="U127" s="40">
        <v>3</v>
      </c>
      <c r="V127" s="40">
        <v>3</v>
      </c>
      <c r="W127" s="40">
        <v>2</v>
      </c>
      <c r="X127" s="40">
        <v>2</v>
      </c>
      <c r="Y127" s="40">
        <v>3</v>
      </c>
      <c r="Z127" s="40">
        <f t="shared" si="5"/>
        <v>2.6666666666666665</v>
      </c>
      <c r="AA127" s="41">
        <v>4</v>
      </c>
      <c r="AB127" s="41">
        <v>4</v>
      </c>
      <c r="AC127" s="41">
        <v>4</v>
      </c>
      <c r="AD127" s="41">
        <v>4</v>
      </c>
      <c r="AE127" s="41">
        <v>4</v>
      </c>
      <c r="AF127" s="41">
        <v>4</v>
      </c>
      <c r="AG127" s="41">
        <v>4</v>
      </c>
      <c r="AH127" s="41">
        <v>4</v>
      </c>
      <c r="AI127" s="41">
        <v>4</v>
      </c>
      <c r="AJ127" s="41">
        <f t="shared" si="6"/>
        <v>4</v>
      </c>
      <c r="AK127" s="40"/>
      <c r="AL127" s="40"/>
      <c r="AM127" s="40"/>
      <c r="AN127" s="40"/>
      <c r="AO127" s="40"/>
      <c r="AP127" s="40"/>
      <c r="AQ127" s="40"/>
      <c r="AR127" s="40"/>
      <c r="AS127" s="40"/>
      <c r="AT127" s="40"/>
      <c r="AU127" s="40"/>
      <c r="AV127" s="40">
        <v>4</v>
      </c>
      <c r="AW127" s="42">
        <v>4</v>
      </c>
      <c r="AX127" s="42">
        <v>4</v>
      </c>
      <c r="AY127" s="42">
        <v>4</v>
      </c>
      <c r="AZ127" s="42"/>
      <c r="BA127" s="42">
        <f t="shared" si="7"/>
        <v>4</v>
      </c>
      <c r="BB127" s="43">
        <v>2</v>
      </c>
      <c r="BC127" s="43"/>
      <c r="BD127" s="44">
        <v>4</v>
      </c>
      <c r="BE127" s="44"/>
      <c r="BF127" s="45">
        <v>3</v>
      </c>
      <c r="BG127" s="45">
        <v>3</v>
      </c>
      <c r="BH127" s="45">
        <v>3</v>
      </c>
      <c r="BI127" s="45">
        <f t="shared" si="4"/>
        <v>3</v>
      </c>
    </row>
    <row r="128" spans="1:61" ht="16.5" customHeight="1">
      <c r="A128" s="48">
        <v>127</v>
      </c>
      <c r="B128" s="49" t="b">
        <v>0</v>
      </c>
      <c r="C128" s="37" t="s">
        <v>151</v>
      </c>
      <c r="D128" s="37" t="s">
        <v>134</v>
      </c>
      <c r="E128" s="38" t="s">
        <v>77</v>
      </c>
      <c r="F128" s="38" t="s">
        <v>74</v>
      </c>
      <c r="G128" s="38" t="s">
        <v>64</v>
      </c>
      <c r="H128" s="38">
        <v>2012</v>
      </c>
      <c r="I128" s="39" t="s">
        <v>65</v>
      </c>
      <c r="J128" s="39" t="s">
        <v>87</v>
      </c>
      <c r="K128" s="39"/>
      <c r="L128" s="39">
        <v>2.5</v>
      </c>
      <c r="M128" s="39"/>
      <c r="N128" s="39"/>
      <c r="O128" s="39" t="s">
        <v>70</v>
      </c>
      <c r="P128" s="39"/>
      <c r="Q128" s="40">
        <v>4</v>
      </c>
      <c r="R128" s="40">
        <v>4</v>
      </c>
      <c r="S128" s="40">
        <v>4</v>
      </c>
      <c r="T128" s="40">
        <v>4</v>
      </c>
      <c r="U128" s="40">
        <v>4</v>
      </c>
      <c r="V128" s="40">
        <v>4</v>
      </c>
      <c r="W128" s="40">
        <v>4</v>
      </c>
      <c r="X128" s="40">
        <v>4</v>
      </c>
      <c r="Y128" s="40">
        <v>4</v>
      </c>
      <c r="Z128" s="40">
        <f t="shared" si="5"/>
        <v>4</v>
      </c>
      <c r="AA128" s="41">
        <v>4</v>
      </c>
      <c r="AB128" s="41">
        <v>4</v>
      </c>
      <c r="AC128" s="41">
        <v>4</v>
      </c>
      <c r="AD128" s="41">
        <v>3</v>
      </c>
      <c r="AE128" s="41">
        <v>3</v>
      </c>
      <c r="AF128" s="41">
        <v>4</v>
      </c>
      <c r="AG128" s="41">
        <v>4</v>
      </c>
      <c r="AH128" s="41">
        <v>4</v>
      </c>
      <c r="AI128" s="41">
        <v>4</v>
      </c>
      <c r="AJ128" s="41">
        <f t="shared" si="6"/>
        <v>3.7777777777777777</v>
      </c>
      <c r="AK128" s="40"/>
      <c r="AL128" s="40"/>
      <c r="AM128" s="40"/>
      <c r="AN128" s="40"/>
      <c r="AO128" s="40"/>
      <c r="AP128" s="40"/>
      <c r="AQ128" s="40"/>
      <c r="AR128" s="40"/>
      <c r="AS128" s="40"/>
      <c r="AT128" s="40"/>
      <c r="AU128" s="40"/>
      <c r="AV128" s="40">
        <v>2</v>
      </c>
      <c r="AW128" s="42">
        <v>4</v>
      </c>
      <c r="AX128" s="42">
        <v>4</v>
      </c>
      <c r="AY128" s="42">
        <v>4</v>
      </c>
      <c r="AZ128" s="42"/>
      <c r="BA128" s="42">
        <f t="shared" si="7"/>
        <v>4</v>
      </c>
      <c r="BB128" s="43">
        <v>4</v>
      </c>
      <c r="BC128" s="43"/>
      <c r="BD128" s="44"/>
      <c r="BE128" s="44"/>
      <c r="BF128" s="45">
        <v>4</v>
      </c>
      <c r="BG128" s="45"/>
      <c r="BH128" s="45"/>
      <c r="BI128" s="45">
        <f t="shared" si="4"/>
        <v>4</v>
      </c>
    </row>
    <row r="129" spans="1:61" ht="16.5" customHeight="1">
      <c r="A129" s="48">
        <v>128</v>
      </c>
      <c r="B129" s="49" t="b">
        <v>0</v>
      </c>
      <c r="C129" s="37" t="s">
        <v>151</v>
      </c>
      <c r="D129" s="37" t="s">
        <v>153</v>
      </c>
      <c r="E129" s="38" t="s">
        <v>72</v>
      </c>
      <c r="F129" s="38" t="s">
        <v>78</v>
      </c>
      <c r="G129" s="38" t="s">
        <v>78</v>
      </c>
      <c r="H129" s="38">
        <v>2012</v>
      </c>
      <c r="I129" s="39" t="s">
        <v>65</v>
      </c>
      <c r="J129" s="39" t="s">
        <v>87</v>
      </c>
      <c r="K129" s="39" t="s">
        <v>69</v>
      </c>
      <c r="L129" s="39">
        <v>3</v>
      </c>
      <c r="M129" s="39"/>
      <c r="N129" s="39"/>
      <c r="O129" s="39" t="s">
        <v>70</v>
      </c>
      <c r="P129" s="39"/>
      <c r="Q129" s="40">
        <v>2</v>
      </c>
      <c r="R129" s="40">
        <v>3</v>
      </c>
      <c r="S129" s="40">
        <v>3</v>
      </c>
      <c r="T129" s="40">
        <v>3</v>
      </c>
      <c r="U129" s="40">
        <v>3</v>
      </c>
      <c r="V129" s="40">
        <v>3</v>
      </c>
      <c r="W129" s="40">
        <v>3</v>
      </c>
      <c r="X129" s="40">
        <v>2</v>
      </c>
      <c r="Y129" s="40">
        <v>3</v>
      </c>
      <c r="Z129" s="40">
        <f t="shared" si="5"/>
        <v>2.7777777777777777</v>
      </c>
      <c r="AA129" s="41">
        <v>3</v>
      </c>
      <c r="AB129" s="41">
        <v>3</v>
      </c>
      <c r="AC129" s="41">
        <v>3</v>
      </c>
      <c r="AD129" s="41">
        <v>2</v>
      </c>
      <c r="AE129" s="41">
        <v>2</v>
      </c>
      <c r="AF129" s="41">
        <v>3</v>
      </c>
      <c r="AG129" s="41">
        <v>3</v>
      </c>
      <c r="AH129" s="41">
        <v>2</v>
      </c>
      <c r="AI129" s="41">
        <v>3</v>
      </c>
      <c r="AJ129" s="41">
        <f t="shared" si="6"/>
        <v>2.6666666666666665</v>
      </c>
      <c r="AK129" s="40">
        <v>4</v>
      </c>
      <c r="AL129" s="40">
        <v>4</v>
      </c>
      <c r="AM129" s="40">
        <v>4</v>
      </c>
      <c r="AN129" s="40">
        <v>4</v>
      </c>
      <c r="AO129" s="40">
        <v>4</v>
      </c>
      <c r="AP129" s="40">
        <v>4</v>
      </c>
      <c r="AQ129" s="40">
        <v>4</v>
      </c>
      <c r="AR129" s="40">
        <v>1</v>
      </c>
      <c r="AS129" s="40">
        <v>3</v>
      </c>
      <c r="AT129" s="40"/>
      <c r="AU129" s="40"/>
      <c r="AV129" s="40">
        <f>AVERAGE(AK129:AS129)</f>
        <v>3.5555555555555554</v>
      </c>
      <c r="AW129" s="42">
        <v>4</v>
      </c>
      <c r="AX129" s="42">
        <v>3</v>
      </c>
      <c r="AY129" s="42"/>
      <c r="AZ129" s="42"/>
      <c r="BA129" s="42">
        <f t="shared" si="7"/>
        <v>3.5</v>
      </c>
      <c r="BB129" s="43">
        <v>4</v>
      </c>
      <c r="BC129" s="43"/>
      <c r="BD129" s="44"/>
      <c r="BE129" s="44"/>
      <c r="BF129" s="45">
        <v>4</v>
      </c>
      <c r="BG129" s="45">
        <v>4</v>
      </c>
      <c r="BH129" s="45">
        <v>4</v>
      </c>
      <c r="BI129" s="45">
        <f t="shared" si="4"/>
        <v>4</v>
      </c>
    </row>
    <row r="130" spans="1:61" ht="16.5" customHeight="1">
      <c r="A130" s="48">
        <v>129</v>
      </c>
      <c r="B130" s="49" t="b">
        <v>1</v>
      </c>
      <c r="C130" s="37" t="s">
        <v>95</v>
      </c>
      <c r="D130" s="37"/>
      <c r="E130" s="38" t="s">
        <v>73</v>
      </c>
      <c r="F130" s="38" t="s">
        <v>74</v>
      </c>
      <c r="G130" s="38" t="s">
        <v>64</v>
      </c>
      <c r="H130" s="38">
        <v>2013</v>
      </c>
      <c r="I130" s="39" t="s">
        <v>65</v>
      </c>
      <c r="J130" s="39" t="s">
        <v>65</v>
      </c>
      <c r="K130" s="39"/>
      <c r="L130" s="39">
        <v>2.5</v>
      </c>
      <c r="M130" s="39"/>
      <c r="N130" s="39"/>
      <c r="O130" s="39" t="s">
        <v>70</v>
      </c>
      <c r="P130" s="39"/>
      <c r="Q130" s="40">
        <v>4</v>
      </c>
      <c r="R130" s="40">
        <v>3</v>
      </c>
      <c r="S130" s="40">
        <v>3</v>
      </c>
      <c r="T130" s="40">
        <v>3</v>
      </c>
      <c r="U130" s="40">
        <v>3</v>
      </c>
      <c r="V130" s="40">
        <v>3</v>
      </c>
      <c r="W130" s="40">
        <v>3</v>
      </c>
      <c r="X130" s="40">
        <v>3</v>
      </c>
      <c r="Y130" s="40">
        <v>3</v>
      </c>
      <c r="Z130" s="40">
        <f t="shared" si="5"/>
        <v>3.1111111111111112</v>
      </c>
      <c r="AA130" s="41">
        <v>5</v>
      </c>
      <c r="AB130" s="41">
        <v>4</v>
      </c>
      <c r="AC130" s="41">
        <v>4</v>
      </c>
      <c r="AD130" s="41">
        <v>4</v>
      </c>
      <c r="AE130" s="41">
        <v>4</v>
      </c>
      <c r="AF130" s="41">
        <v>4</v>
      </c>
      <c r="AG130" s="41">
        <v>4</v>
      </c>
      <c r="AH130" s="41">
        <v>2</v>
      </c>
      <c r="AI130" s="41">
        <v>4</v>
      </c>
      <c r="AJ130" s="41">
        <f t="shared" si="6"/>
        <v>3.8888888888888888</v>
      </c>
      <c r="AK130" s="40">
        <v>5</v>
      </c>
      <c r="AL130" s="40">
        <v>5</v>
      </c>
      <c r="AM130" s="40">
        <v>5</v>
      </c>
      <c r="AN130" s="40">
        <v>5</v>
      </c>
      <c r="AO130" s="40">
        <v>4</v>
      </c>
      <c r="AP130" s="40">
        <v>4</v>
      </c>
      <c r="AQ130" s="40">
        <v>5</v>
      </c>
      <c r="AR130" s="40">
        <v>4</v>
      </c>
      <c r="AS130" s="40">
        <v>4</v>
      </c>
      <c r="AT130" s="40"/>
      <c r="AU130" s="40"/>
      <c r="AV130" s="40">
        <f t="shared" ref="AV130:AV139" si="8">AVERAGE(AK130:AS130)</f>
        <v>4.5555555555555554</v>
      </c>
      <c r="AW130" s="42">
        <v>3</v>
      </c>
      <c r="AX130" s="42">
        <v>4</v>
      </c>
      <c r="AY130" s="42">
        <v>3</v>
      </c>
      <c r="AZ130" s="42"/>
      <c r="BA130" s="42">
        <f t="shared" si="7"/>
        <v>3.3333333333333335</v>
      </c>
      <c r="BB130" s="43">
        <v>4</v>
      </c>
      <c r="BC130" s="43"/>
      <c r="BD130" s="44"/>
      <c r="BE130" s="44"/>
      <c r="BF130" s="45">
        <v>4</v>
      </c>
      <c r="BG130" s="45">
        <v>4</v>
      </c>
      <c r="BH130" s="45">
        <v>4</v>
      </c>
      <c r="BI130" s="45">
        <f t="shared" ref="BI130:BI193" si="9">AVERAGE(BB130:BH130)</f>
        <v>4</v>
      </c>
    </row>
    <row r="131" spans="1:61" ht="16.5" customHeight="1">
      <c r="A131" s="48">
        <v>130</v>
      </c>
      <c r="B131" s="49" t="b">
        <v>1</v>
      </c>
      <c r="C131" s="37" t="s">
        <v>101</v>
      </c>
      <c r="D131" s="37" t="s">
        <v>102</v>
      </c>
      <c r="E131" s="38" t="s">
        <v>96</v>
      </c>
      <c r="F131" s="38" t="s">
        <v>105</v>
      </c>
      <c r="G131" s="38" t="s">
        <v>64</v>
      </c>
      <c r="H131" s="38"/>
      <c r="I131" s="39" t="s">
        <v>65</v>
      </c>
      <c r="J131" s="39" t="s">
        <v>83</v>
      </c>
      <c r="K131" s="39" t="s">
        <v>69</v>
      </c>
      <c r="L131" s="39">
        <v>3</v>
      </c>
      <c r="M131" s="39"/>
      <c r="N131" s="39"/>
      <c r="O131" s="39" t="s">
        <v>70</v>
      </c>
      <c r="P131" s="39"/>
      <c r="Q131" s="40">
        <v>5</v>
      </c>
      <c r="R131" s="40">
        <v>4</v>
      </c>
      <c r="S131" s="40">
        <v>4</v>
      </c>
      <c r="T131" s="40">
        <v>4</v>
      </c>
      <c r="U131" s="40">
        <v>3</v>
      </c>
      <c r="V131" s="40">
        <v>4</v>
      </c>
      <c r="W131" s="40">
        <v>4</v>
      </c>
      <c r="X131" s="40">
        <v>3</v>
      </c>
      <c r="Y131" s="40">
        <v>4</v>
      </c>
      <c r="Z131" s="40">
        <f t="shared" ref="Z131:Z194" si="10">AVERAGE(Q131:Y131)</f>
        <v>3.8888888888888888</v>
      </c>
      <c r="AA131" s="41">
        <v>5</v>
      </c>
      <c r="AB131" s="41">
        <v>5</v>
      </c>
      <c r="AC131" s="41">
        <v>5</v>
      </c>
      <c r="AD131" s="41">
        <v>5</v>
      </c>
      <c r="AE131" s="41">
        <v>5</v>
      </c>
      <c r="AF131" s="41">
        <v>5</v>
      </c>
      <c r="AG131" s="41">
        <v>5</v>
      </c>
      <c r="AH131" s="41">
        <v>4</v>
      </c>
      <c r="AI131" s="41">
        <v>5</v>
      </c>
      <c r="AJ131" s="41">
        <f t="shared" ref="AJ131:AJ194" si="11">AVERAGE(AA131:AI131)</f>
        <v>4.8888888888888893</v>
      </c>
      <c r="AK131" s="40">
        <v>4</v>
      </c>
      <c r="AL131" s="40">
        <v>4</v>
      </c>
      <c r="AM131" s="40">
        <v>4</v>
      </c>
      <c r="AN131" s="40">
        <v>4</v>
      </c>
      <c r="AO131" s="40">
        <v>4</v>
      </c>
      <c r="AP131" s="40">
        <v>4</v>
      </c>
      <c r="AQ131" s="40">
        <v>4</v>
      </c>
      <c r="AR131" s="40">
        <v>4</v>
      </c>
      <c r="AS131" s="40">
        <v>4</v>
      </c>
      <c r="AT131" s="40"/>
      <c r="AU131" s="40"/>
      <c r="AV131" s="40">
        <f t="shared" si="8"/>
        <v>4</v>
      </c>
      <c r="AW131" s="42">
        <v>4</v>
      </c>
      <c r="AX131" s="42"/>
      <c r="AY131" s="42"/>
      <c r="AZ131" s="42"/>
      <c r="BA131" s="42">
        <f t="shared" ref="BA131:BA194" si="12">AVERAGE(AW131:AY131)</f>
        <v>4</v>
      </c>
      <c r="BB131" s="43">
        <v>4</v>
      </c>
      <c r="BC131" s="43"/>
      <c r="BD131" s="44"/>
      <c r="BE131" s="44"/>
      <c r="BF131" s="45"/>
      <c r="BG131" s="45"/>
      <c r="BH131" s="45"/>
      <c r="BI131" s="45">
        <f t="shared" si="9"/>
        <v>4</v>
      </c>
    </row>
    <row r="132" spans="1:61" ht="16.5" customHeight="1">
      <c r="A132" s="48">
        <v>131</v>
      </c>
      <c r="B132" s="49" t="b">
        <v>0</v>
      </c>
      <c r="C132" s="37" t="s">
        <v>151</v>
      </c>
      <c r="D132" s="37" t="s">
        <v>85</v>
      </c>
      <c r="E132" s="38" t="s">
        <v>154</v>
      </c>
      <c r="F132" s="38"/>
      <c r="G132" s="38"/>
      <c r="H132" s="38"/>
      <c r="I132" s="39" t="s">
        <v>65</v>
      </c>
      <c r="J132" s="39" t="s">
        <v>87</v>
      </c>
      <c r="K132" s="39" t="s">
        <v>65</v>
      </c>
      <c r="L132" s="39">
        <v>3</v>
      </c>
      <c r="M132" s="39"/>
      <c r="N132" s="39"/>
      <c r="O132" s="39" t="s">
        <v>70</v>
      </c>
      <c r="P132" s="39"/>
      <c r="Q132" s="40">
        <v>2</v>
      </c>
      <c r="R132" s="40">
        <v>1</v>
      </c>
      <c r="S132" s="40">
        <v>1</v>
      </c>
      <c r="T132" s="40">
        <v>2</v>
      </c>
      <c r="U132" s="40">
        <v>2</v>
      </c>
      <c r="V132" s="40">
        <v>2</v>
      </c>
      <c r="W132" s="40">
        <v>2</v>
      </c>
      <c r="X132" s="40">
        <v>2</v>
      </c>
      <c r="Y132" s="40">
        <v>2</v>
      </c>
      <c r="Z132" s="40">
        <f t="shared" si="10"/>
        <v>1.7777777777777777</v>
      </c>
      <c r="AA132" s="41">
        <v>3</v>
      </c>
      <c r="AB132" s="41">
        <v>1</v>
      </c>
      <c r="AC132" s="41">
        <v>2</v>
      </c>
      <c r="AD132" s="41">
        <v>3</v>
      </c>
      <c r="AE132" s="41">
        <v>3</v>
      </c>
      <c r="AF132" s="41">
        <v>2</v>
      </c>
      <c r="AG132" s="41">
        <v>3</v>
      </c>
      <c r="AH132" s="41">
        <v>3</v>
      </c>
      <c r="AI132" s="41">
        <v>3</v>
      </c>
      <c r="AJ132" s="41">
        <f t="shared" si="11"/>
        <v>2.5555555555555554</v>
      </c>
      <c r="AK132" s="40">
        <v>3</v>
      </c>
      <c r="AL132" s="40">
        <v>1</v>
      </c>
      <c r="AM132" s="40">
        <v>3</v>
      </c>
      <c r="AN132" s="40">
        <v>4</v>
      </c>
      <c r="AO132" s="40">
        <v>4</v>
      </c>
      <c r="AP132" s="40">
        <v>1</v>
      </c>
      <c r="AQ132" s="40">
        <v>4</v>
      </c>
      <c r="AR132" s="40">
        <v>1</v>
      </c>
      <c r="AS132" s="40">
        <v>3</v>
      </c>
      <c r="AT132" s="40"/>
      <c r="AU132" s="40"/>
      <c r="AV132" s="40">
        <f t="shared" si="8"/>
        <v>2.6666666666666665</v>
      </c>
      <c r="AW132" s="42">
        <v>3</v>
      </c>
      <c r="AX132" s="42">
        <v>3</v>
      </c>
      <c r="AY132" s="42">
        <v>2</v>
      </c>
      <c r="AZ132" s="42"/>
      <c r="BA132" s="42">
        <f t="shared" si="12"/>
        <v>2.6666666666666665</v>
      </c>
      <c r="BB132" s="43">
        <v>4</v>
      </c>
      <c r="BC132" s="43"/>
      <c r="BD132" s="44"/>
      <c r="BE132" s="44"/>
      <c r="BF132" s="45">
        <v>1</v>
      </c>
      <c r="BG132" s="45">
        <v>2</v>
      </c>
      <c r="BH132" s="45">
        <v>3</v>
      </c>
      <c r="BI132" s="45">
        <f t="shared" si="9"/>
        <v>2.5</v>
      </c>
    </row>
    <row r="133" spans="1:61" ht="16.5" customHeight="1">
      <c r="A133" s="48">
        <v>132</v>
      </c>
      <c r="B133" s="49" t="b">
        <v>1</v>
      </c>
      <c r="C133" s="37" t="s">
        <v>151</v>
      </c>
      <c r="D133" s="37" t="s">
        <v>98</v>
      </c>
      <c r="E133" s="38" t="s">
        <v>116</v>
      </c>
      <c r="F133" s="38" t="s">
        <v>126</v>
      </c>
      <c r="G133" s="38"/>
      <c r="H133" s="38"/>
      <c r="I133" s="39" t="s">
        <v>65</v>
      </c>
      <c r="J133" s="39" t="s">
        <v>87</v>
      </c>
      <c r="K133" s="39" t="s">
        <v>69</v>
      </c>
      <c r="L133" s="39">
        <v>3</v>
      </c>
      <c r="M133" s="39"/>
      <c r="N133" s="39"/>
      <c r="O133" s="39" t="s">
        <v>70</v>
      </c>
      <c r="P133" s="39"/>
      <c r="Q133" s="40">
        <v>4</v>
      </c>
      <c r="R133" s="40">
        <v>4</v>
      </c>
      <c r="S133" s="40">
        <v>4</v>
      </c>
      <c r="T133" s="40">
        <v>4</v>
      </c>
      <c r="U133" s="40">
        <v>4</v>
      </c>
      <c r="V133" s="40">
        <v>4</v>
      </c>
      <c r="W133" s="40">
        <v>4</v>
      </c>
      <c r="X133" s="40">
        <v>3</v>
      </c>
      <c r="Y133" s="40">
        <v>3</v>
      </c>
      <c r="Z133" s="40">
        <f t="shared" si="10"/>
        <v>3.7777777777777777</v>
      </c>
      <c r="AA133" s="41">
        <v>4</v>
      </c>
      <c r="AB133" s="41">
        <v>4</v>
      </c>
      <c r="AC133" s="41">
        <v>4</v>
      </c>
      <c r="AD133" s="41">
        <v>5</v>
      </c>
      <c r="AE133" s="41">
        <v>5</v>
      </c>
      <c r="AF133" s="41">
        <v>3</v>
      </c>
      <c r="AG133" s="41">
        <v>5</v>
      </c>
      <c r="AH133" s="41">
        <v>3</v>
      </c>
      <c r="AI133" s="41">
        <v>4</v>
      </c>
      <c r="AJ133" s="41">
        <f t="shared" si="11"/>
        <v>4.1111111111111107</v>
      </c>
      <c r="AK133" s="40">
        <v>4</v>
      </c>
      <c r="AL133" s="40">
        <v>4</v>
      </c>
      <c r="AM133" s="40">
        <v>4</v>
      </c>
      <c r="AN133" s="40">
        <v>4</v>
      </c>
      <c r="AO133" s="40">
        <v>4</v>
      </c>
      <c r="AP133" s="40">
        <v>4</v>
      </c>
      <c r="AQ133" s="40">
        <v>4</v>
      </c>
      <c r="AR133" s="40">
        <v>4</v>
      </c>
      <c r="AS133" s="40">
        <v>4</v>
      </c>
      <c r="AT133" s="40"/>
      <c r="AU133" s="40"/>
      <c r="AV133" s="40">
        <f t="shared" si="8"/>
        <v>4</v>
      </c>
      <c r="AW133" s="42">
        <v>4</v>
      </c>
      <c r="AX133" s="42">
        <v>4</v>
      </c>
      <c r="AY133" s="42">
        <v>4</v>
      </c>
      <c r="AZ133" s="42"/>
      <c r="BA133" s="42">
        <f t="shared" si="12"/>
        <v>4</v>
      </c>
      <c r="BB133" s="43">
        <v>4</v>
      </c>
      <c r="BC133" s="43"/>
      <c r="BD133" s="44"/>
      <c r="BE133" s="44"/>
      <c r="BF133" s="45">
        <v>4</v>
      </c>
      <c r="BG133" s="45">
        <v>5</v>
      </c>
      <c r="BH133" s="45">
        <v>5</v>
      </c>
      <c r="BI133" s="45">
        <f t="shared" si="9"/>
        <v>4.5</v>
      </c>
    </row>
    <row r="134" spans="1:61" ht="16.5" customHeight="1">
      <c r="A134" s="48">
        <v>133</v>
      </c>
      <c r="B134" s="49" t="b">
        <v>0</v>
      </c>
      <c r="C134" s="37" t="s">
        <v>155</v>
      </c>
      <c r="D134" s="37"/>
      <c r="E134" s="38" t="s">
        <v>82</v>
      </c>
      <c r="F134" s="38" t="s">
        <v>78</v>
      </c>
      <c r="G134" s="38" t="s">
        <v>64</v>
      </c>
      <c r="H134" s="38">
        <v>2007</v>
      </c>
      <c r="I134" s="39" t="s">
        <v>65</v>
      </c>
      <c r="J134" s="39" t="s">
        <v>83</v>
      </c>
      <c r="K134" s="39"/>
      <c r="L134" s="39">
        <v>2.5</v>
      </c>
      <c r="M134" s="39"/>
      <c r="N134" s="39"/>
      <c r="O134" s="39" t="s">
        <v>70</v>
      </c>
      <c r="P134" s="39"/>
      <c r="Q134" s="40">
        <v>2</v>
      </c>
      <c r="R134" s="40">
        <v>2</v>
      </c>
      <c r="S134" s="40">
        <v>2</v>
      </c>
      <c r="T134" s="40">
        <v>4</v>
      </c>
      <c r="U134" s="40">
        <v>3</v>
      </c>
      <c r="V134" s="40">
        <v>4</v>
      </c>
      <c r="W134" s="40">
        <v>3</v>
      </c>
      <c r="X134" s="40">
        <v>3</v>
      </c>
      <c r="Y134" s="40">
        <v>3</v>
      </c>
      <c r="Z134" s="40">
        <f t="shared" si="10"/>
        <v>2.8888888888888888</v>
      </c>
      <c r="AA134" s="41">
        <v>1</v>
      </c>
      <c r="AB134" s="41">
        <v>2</v>
      </c>
      <c r="AC134" s="41">
        <v>2</v>
      </c>
      <c r="AD134" s="41">
        <v>3</v>
      </c>
      <c r="AE134" s="41">
        <v>4</v>
      </c>
      <c r="AF134" s="41">
        <v>4</v>
      </c>
      <c r="AG134" s="41">
        <v>4</v>
      </c>
      <c r="AH134" s="41">
        <v>4</v>
      </c>
      <c r="AI134" s="41">
        <v>3</v>
      </c>
      <c r="AJ134" s="41">
        <f t="shared" si="11"/>
        <v>3</v>
      </c>
      <c r="AK134" s="40">
        <v>3</v>
      </c>
      <c r="AL134" s="40">
        <v>3</v>
      </c>
      <c r="AM134" s="40">
        <v>3</v>
      </c>
      <c r="AN134" s="40">
        <v>4</v>
      </c>
      <c r="AO134" s="40">
        <v>4</v>
      </c>
      <c r="AP134" s="40">
        <v>4</v>
      </c>
      <c r="AQ134" s="40">
        <v>4</v>
      </c>
      <c r="AR134" s="40">
        <v>4</v>
      </c>
      <c r="AS134" s="40">
        <v>4</v>
      </c>
      <c r="AT134" s="40"/>
      <c r="AU134" s="40"/>
      <c r="AV134" s="40">
        <f t="shared" si="8"/>
        <v>3.6666666666666665</v>
      </c>
      <c r="AW134" s="42">
        <v>4</v>
      </c>
      <c r="AX134" s="42">
        <v>4</v>
      </c>
      <c r="AY134" s="42">
        <v>5</v>
      </c>
      <c r="AZ134" s="42"/>
      <c r="BA134" s="42">
        <f t="shared" si="12"/>
        <v>4.333333333333333</v>
      </c>
      <c r="BB134" s="43">
        <v>4</v>
      </c>
      <c r="BC134" s="43">
        <v>4</v>
      </c>
      <c r="BD134" s="44"/>
      <c r="BE134" s="44"/>
      <c r="BF134" s="45">
        <v>4</v>
      </c>
      <c r="BG134" s="45">
        <v>4</v>
      </c>
      <c r="BH134" s="45">
        <v>4</v>
      </c>
      <c r="BI134" s="45">
        <f t="shared" si="9"/>
        <v>4</v>
      </c>
    </row>
    <row r="135" spans="1:61" ht="16.5" customHeight="1">
      <c r="A135" s="48">
        <v>134</v>
      </c>
      <c r="B135" s="49" t="b">
        <v>0</v>
      </c>
      <c r="C135" s="37" t="s">
        <v>90</v>
      </c>
      <c r="D135" s="37" t="s">
        <v>156</v>
      </c>
      <c r="E135" s="38" t="s">
        <v>72</v>
      </c>
      <c r="F135" s="38" t="s">
        <v>78</v>
      </c>
      <c r="G135" s="38"/>
      <c r="H135" s="38"/>
      <c r="I135" s="39" t="s">
        <v>65</v>
      </c>
      <c r="J135" s="39" t="s">
        <v>87</v>
      </c>
      <c r="K135" s="39" t="s">
        <v>65</v>
      </c>
      <c r="L135" s="39">
        <v>3</v>
      </c>
      <c r="M135" s="39"/>
      <c r="N135" s="39"/>
      <c r="O135" s="39" t="s">
        <v>70</v>
      </c>
      <c r="P135" s="39" t="s">
        <v>70</v>
      </c>
      <c r="Q135" s="40">
        <v>2</v>
      </c>
      <c r="R135" s="40">
        <v>2</v>
      </c>
      <c r="S135" s="40">
        <v>2</v>
      </c>
      <c r="T135" s="40">
        <v>3</v>
      </c>
      <c r="U135" s="40">
        <v>3</v>
      </c>
      <c r="V135" s="40">
        <v>3</v>
      </c>
      <c r="W135" s="40">
        <v>3</v>
      </c>
      <c r="X135" s="40">
        <v>1</v>
      </c>
      <c r="Y135" s="40">
        <v>2</v>
      </c>
      <c r="Z135" s="40">
        <f t="shared" si="10"/>
        <v>2.3333333333333335</v>
      </c>
      <c r="AA135" s="41">
        <v>1</v>
      </c>
      <c r="AB135" s="41">
        <v>1</v>
      </c>
      <c r="AC135" s="41">
        <v>2</v>
      </c>
      <c r="AD135" s="41">
        <v>3</v>
      </c>
      <c r="AE135" s="41">
        <v>3</v>
      </c>
      <c r="AF135" s="41">
        <v>3</v>
      </c>
      <c r="AG135" s="41">
        <v>3</v>
      </c>
      <c r="AH135" s="41">
        <v>1</v>
      </c>
      <c r="AI135" s="41">
        <v>3</v>
      </c>
      <c r="AJ135" s="41">
        <f t="shared" si="11"/>
        <v>2.2222222222222223</v>
      </c>
      <c r="AK135" s="40">
        <v>1</v>
      </c>
      <c r="AL135" s="40">
        <v>1</v>
      </c>
      <c r="AM135" s="40">
        <v>1</v>
      </c>
      <c r="AN135" s="40">
        <v>3</v>
      </c>
      <c r="AO135" s="40">
        <v>3</v>
      </c>
      <c r="AP135" s="40">
        <v>3</v>
      </c>
      <c r="AQ135" s="40">
        <v>3</v>
      </c>
      <c r="AR135" s="40">
        <v>1</v>
      </c>
      <c r="AS135" s="40">
        <v>3</v>
      </c>
      <c r="AT135" s="40"/>
      <c r="AU135" s="40"/>
      <c r="AV135" s="40">
        <f t="shared" si="8"/>
        <v>2.1111111111111112</v>
      </c>
      <c r="AW135" s="42">
        <v>3</v>
      </c>
      <c r="AX135" s="42">
        <v>2</v>
      </c>
      <c r="AY135" s="42">
        <v>3</v>
      </c>
      <c r="AZ135" s="42"/>
      <c r="BA135" s="42">
        <f t="shared" si="12"/>
        <v>2.6666666666666665</v>
      </c>
      <c r="BB135" s="43">
        <v>1</v>
      </c>
      <c r="BC135" s="43"/>
      <c r="BD135" s="44"/>
      <c r="BE135" s="44"/>
      <c r="BF135" s="45">
        <v>1</v>
      </c>
      <c r="BG135" s="45">
        <v>4</v>
      </c>
      <c r="BH135" s="45">
        <v>3</v>
      </c>
      <c r="BI135" s="45">
        <f t="shared" si="9"/>
        <v>2.25</v>
      </c>
    </row>
    <row r="136" spans="1:61" ht="16.5" customHeight="1">
      <c r="A136" s="48">
        <v>135</v>
      </c>
      <c r="B136" s="49" t="b">
        <v>0</v>
      </c>
      <c r="C136" s="37" t="s">
        <v>114</v>
      </c>
      <c r="D136" s="37" t="s">
        <v>153</v>
      </c>
      <c r="E136" s="38" t="s">
        <v>157</v>
      </c>
      <c r="F136" s="38"/>
      <c r="G136" s="38"/>
      <c r="H136" s="38"/>
      <c r="I136" s="39" t="s">
        <v>65</v>
      </c>
      <c r="J136" s="39" t="s">
        <v>87</v>
      </c>
      <c r="K136" s="39" t="s">
        <v>69</v>
      </c>
      <c r="L136" s="39">
        <v>3</v>
      </c>
      <c r="M136" s="39"/>
      <c r="N136" s="39"/>
      <c r="O136" s="39" t="s">
        <v>70</v>
      </c>
      <c r="P136" s="39"/>
      <c r="Q136" s="40">
        <v>3</v>
      </c>
      <c r="R136" s="40">
        <v>2</v>
      </c>
      <c r="S136" s="40">
        <v>4</v>
      </c>
      <c r="T136" s="40">
        <v>4</v>
      </c>
      <c r="U136" s="40">
        <v>4</v>
      </c>
      <c r="V136" s="40">
        <v>4</v>
      </c>
      <c r="W136" s="40">
        <v>4</v>
      </c>
      <c r="X136" s="40">
        <v>2</v>
      </c>
      <c r="Y136" s="40">
        <v>2</v>
      </c>
      <c r="Z136" s="40">
        <f t="shared" si="10"/>
        <v>3.2222222222222223</v>
      </c>
      <c r="AA136" s="41">
        <v>3</v>
      </c>
      <c r="AB136" s="41">
        <v>3</v>
      </c>
      <c r="AC136" s="41">
        <v>3</v>
      </c>
      <c r="AD136" s="41">
        <v>4</v>
      </c>
      <c r="AE136" s="41">
        <v>4</v>
      </c>
      <c r="AF136" s="41">
        <v>3</v>
      </c>
      <c r="AG136" s="41">
        <v>4</v>
      </c>
      <c r="AH136" s="41">
        <v>3</v>
      </c>
      <c r="AI136" s="41">
        <v>4</v>
      </c>
      <c r="AJ136" s="41">
        <f t="shared" si="11"/>
        <v>3.4444444444444446</v>
      </c>
      <c r="AK136" s="40">
        <v>3</v>
      </c>
      <c r="AL136" s="40">
        <v>2</v>
      </c>
      <c r="AM136" s="40">
        <v>4</v>
      </c>
      <c r="AN136" s="40">
        <v>4</v>
      </c>
      <c r="AO136" s="40">
        <v>4</v>
      </c>
      <c r="AP136" s="40">
        <v>4</v>
      </c>
      <c r="AQ136" s="40">
        <v>4</v>
      </c>
      <c r="AR136" s="40">
        <v>2</v>
      </c>
      <c r="AS136" s="40">
        <v>3</v>
      </c>
      <c r="AT136" s="40"/>
      <c r="AU136" s="40"/>
      <c r="AV136" s="40">
        <f t="shared" si="8"/>
        <v>3.3333333333333335</v>
      </c>
      <c r="AW136" s="42">
        <v>3</v>
      </c>
      <c r="AX136" s="42">
        <v>3</v>
      </c>
      <c r="AY136" s="42">
        <v>2</v>
      </c>
      <c r="AZ136" s="42"/>
      <c r="BA136" s="42">
        <f t="shared" si="12"/>
        <v>2.6666666666666665</v>
      </c>
      <c r="BB136" s="43"/>
      <c r="BC136" s="43"/>
      <c r="BD136" s="44">
        <v>4</v>
      </c>
      <c r="BE136" s="44"/>
      <c r="BF136" s="45">
        <v>3</v>
      </c>
      <c r="BG136" s="45">
        <v>1</v>
      </c>
      <c r="BH136" s="45">
        <v>3</v>
      </c>
      <c r="BI136" s="45">
        <f t="shared" si="9"/>
        <v>2.75</v>
      </c>
    </row>
    <row r="137" spans="1:61" ht="16.5" customHeight="1">
      <c r="A137" s="48">
        <v>136</v>
      </c>
      <c r="B137" s="49" t="b">
        <v>0</v>
      </c>
      <c r="C137" s="37" t="s">
        <v>79</v>
      </c>
      <c r="D137" s="37" t="s">
        <v>98</v>
      </c>
      <c r="E137" s="38" t="s">
        <v>158</v>
      </c>
      <c r="F137" s="38" t="s">
        <v>74</v>
      </c>
      <c r="G137" s="38" t="s">
        <v>78</v>
      </c>
      <c r="H137" s="38"/>
      <c r="I137" s="39" t="s">
        <v>65</v>
      </c>
      <c r="J137" s="39" t="s">
        <v>87</v>
      </c>
      <c r="K137" s="39" t="s">
        <v>65</v>
      </c>
      <c r="L137" s="39" t="s">
        <v>92</v>
      </c>
      <c r="M137" s="39"/>
      <c r="N137" s="39"/>
      <c r="O137" s="39"/>
      <c r="P137" s="39" t="s">
        <v>70</v>
      </c>
      <c r="Q137" s="40">
        <v>4</v>
      </c>
      <c r="R137" s="40">
        <v>4</v>
      </c>
      <c r="S137" s="40">
        <v>3</v>
      </c>
      <c r="T137" s="40">
        <v>3</v>
      </c>
      <c r="U137" s="40">
        <v>3</v>
      </c>
      <c r="V137" s="40">
        <v>2</v>
      </c>
      <c r="W137" s="40">
        <v>3</v>
      </c>
      <c r="X137" s="40">
        <v>2</v>
      </c>
      <c r="Y137" s="40">
        <v>3</v>
      </c>
      <c r="Z137" s="40">
        <f t="shared" si="10"/>
        <v>3</v>
      </c>
      <c r="AA137" s="41">
        <v>5</v>
      </c>
      <c r="AB137" s="41">
        <v>4</v>
      </c>
      <c r="AC137" s="41">
        <v>4</v>
      </c>
      <c r="AD137" s="41">
        <v>4</v>
      </c>
      <c r="AE137" s="41">
        <v>4</v>
      </c>
      <c r="AF137" s="41">
        <v>4</v>
      </c>
      <c r="AG137" s="41">
        <v>4</v>
      </c>
      <c r="AH137" s="41">
        <v>2</v>
      </c>
      <c r="AI137" s="41">
        <v>1</v>
      </c>
      <c r="AJ137" s="41">
        <f t="shared" si="11"/>
        <v>3.5555555555555554</v>
      </c>
      <c r="AK137" s="40">
        <v>4</v>
      </c>
      <c r="AL137" s="40">
        <v>4</v>
      </c>
      <c r="AM137" s="40">
        <v>4</v>
      </c>
      <c r="AN137" s="40">
        <v>4</v>
      </c>
      <c r="AO137" s="40">
        <v>4</v>
      </c>
      <c r="AP137" s="40">
        <v>4</v>
      </c>
      <c r="AQ137" s="40">
        <v>4</v>
      </c>
      <c r="AR137" s="40">
        <v>3</v>
      </c>
      <c r="AS137" s="40">
        <v>4</v>
      </c>
      <c r="AT137" s="40"/>
      <c r="AU137" s="40"/>
      <c r="AV137" s="40">
        <f t="shared" si="8"/>
        <v>3.8888888888888888</v>
      </c>
      <c r="AW137" s="42">
        <v>3</v>
      </c>
      <c r="AX137" s="42">
        <v>4</v>
      </c>
      <c r="AY137" s="42">
        <v>3</v>
      </c>
      <c r="AZ137" s="42"/>
      <c r="BA137" s="42">
        <f t="shared" si="12"/>
        <v>3.3333333333333335</v>
      </c>
      <c r="BB137" s="43">
        <v>3</v>
      </c>
      <c r="BC137" s="43">
        <v>2</v>
      </c>
      <c r="BD137" s="44">
        <v>4</v>
      </c>
      <c r="BE137" s="44">
        <v>4</v>
      </c>
      <c r="BF137" s="45">
        <v>3</v>
      </c>
      <c r="BG137" s="45">
        <v>4</v>
      </c>
      <c r="BH137" s="45">
        <v>4</v>
      </c>
      <c r="BI137" s="45">
        <f t="shared" si="9"/>
        <v>3.4285714285714284</v>
      </c>
    </row>
    <row r="138" spans="1:61" ht="16.5" customHeight="1">
      <c r="A138" s="48">
        <v>137</v>
      </c>
      <c r="B138" s="49" t="b">
        <v>0</v>
      </c>
      <c r="C138" s="37" t="s">
        <v>159</v>
      </c>
      <c r="D138" s="37" t="s">
        <v>134</v>
      </c>
      <c r="E138" s="38" t="s">
        <v>75</v>
      </c>
      <c r="F138" s="38" t="s">
        <v>63</v>
      </c>
      <c r="G138" s="38" t="s">
        <v>78</v>
      </c>
      <c r="H138" s="38"/>
      <c r="I138" s="39" t="s">
        <v>65</v>
      </c>
      <c r="J138" s="39" t="s">
        <v>87</v>
      </c>
      <c r="K138" s="39"/>
      <c r="L138" s="39">
        <v>2.5</v>
      </c>
      <c r="M138" s="39"/>
      <c r="N138" s="39"/>
      <c r="O138" s="39" t="s">
        <v>70</v>
      </c>
      <c r="P138" s="39" t="s">
        <v>70</v>
      </c>
      <c r="Q138" s="40">
        <v>2</v>
      </c>
      <c r="R138" s="40">
        <v>4</v>
      </c>
      <c r="S138" s="40">
        <v>3</v>
      </c>
      <c r="T138" s="40">
        <v>3</v>
      </c>
      <c r="U138" s="40">
        <v>3</v>
      </c>
      <c r="V138" s="40">
        <v>3</v>
      </c>
      <c r="W138" s="40">
        <v>3</v>
      </c>
      <c r="X138" s="40">
        <v>3</v>
      </c>
      <c r="Y138" s="40">
        <v>2</v>
      </c>
      <c r="Z138" s="40">
        <f t="shared" si="10"/>
        <v>2.8888888888888888</v>
      </c>
      <c r="AA138" s="41">
        <v>4</v>
      </c>
      <c r="AB138" s="41">
        <v>4</v>
      </c>
      <c r="AC138" s="41">
        <v>4</v>
      </c>
      <c r="AD138" s="41">
        <v>4</v>
      </c>
      <c r="AE138" s="41">
        <v>4</v>
      </c>
      <c r="AF138" s="41">
        <v>4</v>
      </c>
      <c r="AG138" s="41">
        <v>4</v>
      </c>
      <c r="AH138" s="41">
        <v>4</v>
      </c>
      <c r="AI138" s="41">
        <v>3</v>
      </c>
      <c r="AJ138" s="41">
        <f t="shared" si="11"/>
        <v>3.8888888888888888</v>
      </c>
      <c r="AK138" s="40">
        <v>1</v>
      </c>
      <c r="AL138" s="40">
        <v>1</v>
      </c>
      <c r="AM138" s="40">
        <v>1</v>
      </c>
      <c r="AN138" s="40">
        <v>1</v>
      </c>
      <c r="AO138" s="40">
        <v>1</v>
      </c>
      <c r="AP138" s="40">
        <v>1</v>
      </c>
      <c r="AQ138" s="40">
        <v>1</v>
      </c>
      <c r="AR138" s="40">
        <v>1</v>
      </c>
      <c r="AS138" s="40">
        <v>1</v>
      </c>
      <c r="AT138" s="40"/>
      <c r="AU138" s="40"/>
      <c r="AV138" s="40">
        <f t="shared" si="8"/>
        <v>1</v>
      </c>
      <c r="AW138" s="42">
        <v>3</v>
      </c>
      <c r="AX138" s="42"/>
      <c r="AY138" s="42"/>
      <c r="AZ138" s="42"/>
      <c r="BA138" s="42">
        <f t="shared" si="12"/>
        <v>3</v>
      </c>
      <c r="BB138" s="43">
        <v>3</v>
      </c>
      <c r="BC138" s="43">
        <v>3</v>
      </c>
      <c r="BD138" s="44"/>
      <c r="BE138" s="44"/>
      <c r="BF138" s="45">
        <v>3</v>
      </c>
      <c r="BG138" s="45">
        <v>3</v>
      </c>
      <c r="BH138" s="45">
        <v>3</v>
      </c>
      <c r="BI138" s="45">
        <f t="shared" si="9"/>
        <v>3</v>
      </c>
    </row>
    <row r="139" spans="1:61" ht="16.5" customHeight="1">
      <c r="A139" s="48">
        <v>138</v>
      </c>
      <c r="B139" s="49" t="b">
        <v>0</v>
      </c>
      <c r="C139" s="37" t="s">
        <v>95</v>
      </c>
      <c r="D139" s="37"/>
      <c r="E139" s="38" t="s">
        <v>160</v>
      </c>
      <c r="F139" s="38" t="s">
        <v>126</v>
      </c>
      <c r="G139" s="38" t="s">
        <v>78</v>
      </c>
      <c r="H139" s="38">
        <v>2022</v>
      </c>
      <c r="I139" s="39" t="s">
        <v>65</v>
      </c>
      <c r="J139" s="39" t="s">
        <v>65</v>
      </c>
      <c r="K139" s="39"/>
      <c r="L139" s="39">
        <v>2.5</v>
      </c>
      <c r="M139" s="39"/>
      <c r="N139" s="39"/>
      <c r="O139" s="39"/>
      <c r="P139" s="39"/>
      <c r="Q139" s="40">
        <v>5</v>
      </c>
      <c r="R139" s="40">
        <v>5</v>
      </c>
      <c r="S139" s="40">
        <v>5</v>
      </c>
      <c r="T139" s="40">
        <v>5</v>
      </c>
      <c r="U139" s="40">
        <v>5</v>
      </c>
      <c r="V139" s="40">
        <v>5</v>
      </c>
      <c r="W139" s="40">
        <v>5</v>
      </c>
      <c r="X139" s="40">
        <v>5</v>
      </c>
      <c r="Y139" s="40">
        <v>5</v>
      </c>
      <c r="Z139" s="40">
        <f t="shared" si="10"/>
        <v>5</v>
      </c>
      <c r="AA139" s="41">
        <v>5</v>
      </c>
      <c r="AB139" s="41">
        <v>5</v>
      </c>
      <c r="AC139" s="41">
        <v>5</v>
      </c>
      <c r="AD139" s="41">
        <v>5</v>
      </c>
      <c r="AE139" s="41">
        <v>5</v>
      </c>
      <c r="AF139" s="41">
        <v>5</v>
      </c>
      <c r="AG139" s="41">
        <v>5</v>
      </c>
      <c r="AH139" s="41">
        <v>5</v>
      </c>
      <c r="AI139" s="41">
        <v>5</v>
      </c>
      <c r="AJ139" s="41">
        <f t="shared" si="11"/>
        <v>5</v>
      </c>
      <c r="AK139" s="40">
        <v>4</v>
      </c>
      <c r="AL139" s="40">
        <v>5</v>
      </c>
      <c r="AM139" s="40">
        <v>5</v>
      </c>
      <c r="AN139" s="40">
        <v>5</v>
      </c>
      <c r="AO139" s="40">
        <v>5</v>
      </c>
      <c r="AP139" s="40">
        <v>5</v>
      </c>
      <c r="AQ139" s="40">
        <v>5</v>
      </c>
      <c r="AR139" s="40">
        <v>5</v>
      </c>
      <c r="AS139" s="40">
        <v>5</v>
      </c>
      <c r="AT139" s="40"/>
      <c r="AU139" s="40"/>
      <c r="AV139" s="40">
        <f t="shared" si="8"/>
        <v>4.8888888888888893</v>
      </c>
      <c r="AW139" s="42">
        <v>4</v>
      </c>
      <c r="AX139" s="42">
        <v>4</v>
      </c>
      <c r="AY139" s="42"/>
      <c r="AZ139" s="42"/>
      <c r="BA139" s="42">
        <f t="shared" si="12"/>
        <v>4</v>
      </c>
      <c r="BB139" s="43"/>
      <c r="BC139" s="43"/>
      <c r="BD139" s="44"/>
      <c r="BE139" s="44">
        <v>4</v>
      </c>
      <c r="BF139" s="45">
        <v>5</v>
      </c>
      <c r="BG139" s="45">
        <v>4</v>
      </c>
      <c r="BH139" s="45">
        <v>4</v>
      </c>
      <c r="BI139" s="45">
        <f t="shared" si="9"/>
        <v>4.25</v>
      </c>
    </row>
    <row r="140" spans="1:61" ht="16.5" customHeight="1">
      <c r="A140" s="48">
        <v>139</v>
      </c>
      <c r="B140" s="49" t="b">
        <v>1</v>
      </c>
      <c r="C140" s="37" t="s">
        <v>95</v>
      </c>
      <c r="D140" s="37"/>
      <c r="E140" s="38" t="s">
        <v>127</v>
      </c>
      <c r="F140" s="38" t="s">
        <v>78</v>
      </c>
      <c r="G140" s="38" t="s">
        <v>78</v>
      </c>
      <c r="H140" s="38">
        <v>2016</v>
      </c>
      <c r="I140" s="39" t="s">
        <v>65</v>
      </c>
      <c r="J140" s="39" t="s">
        <v>65</v>
      </c>
      <c r="K140" s="39"/>
      <c r="L140" s="39">
        <v>2.5</v>
      </c>
      <c r="M140" s="39"/>
      <c r="N140" s="39"/>
      <c r="O140" s="39"/>
      <c r="P140" s="39" t="s">
        <v>70</v>
      </c>
      <c r="Q140" s="40">
        <v>4</v>
      </c>
      <c r="R140" s="40">
        <v>1</v>
      </c>
      <c r="S140" s="40">
        <v>4</v>
      </c>
      <c r="T140" s="40">
        <v>4</v>
      </c>
      <c r="U140" s="40">
        <v>4</v>
      </c>
      <c r="V140" s="40">
        <v>4</v>
      </c>
      <c r="W140" s="40">
        <v>1</v>
      </c>
      <c r="X140" s="40">
        <v>3</v>
      </c>
      <c r="Y140" s="40">
        <v>1</v>
      </c>
      <c r="Z140" s="40">
        <f t="shared" si="10"/>
        <v>2.8888888888888888</v>
      </c>
      <c r="AA140" s="41">
        <v>1</v>
      </c>
      <c r="AB140" s="41">
        <v>1</v>
      </c>
      <c r="AC140" s="41">
        <v>1</v>
      </c>
      <c r="AD140" s="41">
        <v>4</v>
      </c>
      <c r="AE140" s="41">
        <v>4</v>
      </c>
      <c r="AF140" s="41">
        <v>4</v>
      </c>
      <c r="AG140" s="41">
        <v>3</v>
      </c>
      <c r="AH140" s="41">
        <v>1</v>
      </c>
      <c r="AI140" s="41">
        <v>3</v>
      </c>
      <c r="AJ140" s="41">
        <f t="shared" si="11"/>
        <v>2.4444444444444446</v>
      </c>
      <c r="AK140" s="40"/>
      <c r="AL140" s="40"/>
      <c r="AM140" s="40"/>
      <c r="AN140" s="40"/>
      <c r="AO140" s="40"/>
      <c r="AP140" s="40"/>
      <c r="AQ140" s="40"/>
      <c r="AR140" s="40"/>
      <c r="AS140" s="40"/>
      <c r="AT140" s="40"/>
      <c r="AU140" s="40"/>
      <c r="AV140" s="40">
        <v>2</v>
      </c>
      <c r="AW140" s="42">
        <v>1</v>
      </c>
      <c r="AX140" s="42">
        <v>4</v>
      </c>
      <c r="AY140" s="42"/>
      <c r="AZ140" s="42"/>
      <c r="BA140" s="42">
        <f t="shared" si="12"/>
        <v>2.5</v>
      </c>
      <c r="BB140" s="43"/>
      <c r="BC140" s="43"/>
      <c r="BD140" s="44"/>
      <c r="BE140" s="44"/>
      <c r="BF140" s="45">
        <v>4</v>
      </c>
      <c r="BG140" s="45"/>
      <c r="BH140" s="45">
        <v>4</v>
      </c>
      <c r="BI140" s="45">
        <f t="shared" si="9"/>
        <v>4</v>
      </c>
    </row>
    <row r="141" spans="1:61" ht="16.5" customHeight="1">
      <c r="A141" s="48">
        <v>140</v>
      </c>
      <c r="B141" s="49" t="b">
        <v>1</v>
      </c>
      <c r="C141" s="37" t="s">
        <v>161</v>
      </c>
      <c r="D141" s="37" t="s">
        <v>162</v>
      </c>
      <c r="E141" s="38" t="s">
        <v>163</v>
      </c>
      <c r="F141" s="38" t="s">
        <v>78</v>
      </c>
      <c r="G141" s="38" t="s">
        <v>78</v>
      </c>
      <c r="H141" s="38"/>
      <c r="I141" s="39" t="s">
        <v>65</v>
      </c>
      <c r="J141" s="39" t="s">
        <v>83</v>
      </c>
      <c r="K141" s="39" t="s">
        <v>65</v>
      </c>
      <c r="L141" s="39">
        <v>3</v>
      </c>
      <c r="M141" s="39"/>
      <c r="N141" s="39"/>
      <c r="O141" s="39" t="s">
        <v>70</v>
      </c>
      <c r="P141" s="39"/>
      <c r="Q141" s="40">
        <v>4</v>
      </c>
      <c r="R141" s="40">
        <v>4</v>
      </c>
      <c r="S141" s="40">
        <v>4</v>
      </c>
      <c r="T141" s="40">
        <v>3</v>
      </c>
      <c r="U141" s="40">
        <v>3</v>
      </c>
      <c r="V141" s="40">
        <v>3</v>
      </c>
      <c r="W141" s="40">
        <v>3</v>
      </c>
      <c r="X141" s="40">
        <v>3</v>
      </c>
      <c r="Y141" s="40">
        <v>3</v>
      </c>
      <c r="Z141" s="40">
        <f t="shared" si="10"/>
        <v>3.3333333333333335</v>
      </c>
      <c r="AA141" s="41">
        <v>3</v>
      </c>
      <c r="AB141" s="41">
        <v>4</v>
      </c>
      <c r="AC141" s="41">
        <v>4</v>
      </c>
      <c r="AD141" s="41">
        <v>4</v>
      </c>
      <c r="AE141" s="41">
        <v>4</v>
      </c>
      <c r="AF141" s="41">
        <v>4</v>
      </c>
      <c r="AG141" s="41">
        <v>4</v>
      </c>
      <c r="AH141" s="41">
        <v>3</v>
      </c>
      <c r="AI141" s="41">
        <v>4</v>
      </c>
      <c r="AJ141" s="41">
        <f t="shared" si="11"/>
        <v>3.7777777777777777</v>
      </c>
      <c r="AK141" s="40"/>
      <c r="AL141" s="40"/>
      <c r="AM141" s="40"/>
      <c r="AN141" s="40"/>
      <c r="AO141" s="40"/>
      <c r="AP141" s="40"/>
      <c r="AQ141" s="40"/>
      <c r="AR141" s="40"/>
      <c r="AS141" s="40"/>
      <c r="AT141" s="40"/>
      <c r="AU141" s="40"/>
      <c r="AV141" s="40">
        <v>4</v>
      </c>
      <c r="AW141" s="42">
        <v>4</v>
      </c>
      <c r="AX141" s="42">
        <v>4</v>
      </c>
      <c r="AY141" s="42">
        <v>4</v>
      </c>
      <c r="AZ141" s="42"/>
      <c r="BA141" s="42">
        <f t="shared" si="12"/>
        <v>4</v>
      </c>
      <c r="BB141" s="43"/>
      <c r="BC141" s="43"/>
      <c r="BD141" s="44">
        <v>4</v>
      </c>
      <c r="BE141" s="44"/>
      <c r="BF141" s="45">
        <v>5</v>
      </c>
      <c r="BG141" s="45">
        <v>5</v>
      </c>
      <c r="BH141" s="45">
        <v>5</v>
      </c>
      <c r="BI141" s="45">
        <f t="shared" si="9"/>
        <v>4.75</v>
      </c>
    </row>
    <row r="142" spans="1:61" ht="16.5" customHeight="1">
      <c r="A142" s="48">
        <v>141</v>
      </c>
      <c r="B142" s="49" t="b">
        <v>1</v>
      </c>
      <c r="C142" s="37" t="s">
        <v>161</v>
      </c>
      <c r="D142" s="37" t="s">
        <v>164</v>
      </c>
      <c r="E142" s="38" t="s">
        <v>75</v>
      </c>
      <c r="F142" s="38" t="s">
        <v>74</v>
      </c>
      <c r="G142" s="38" t="s">
        <v>64</v>
      </c>
      <c r="H142" s="38"/>
      <c r="I142" s="39" t="s">
        <v>65</v>
      </c>
      <c r="J142" s="39" t="s">
        <v>65</v>
      </c>
      <c r="K142" s="39" t="s">
        <v>65</v>
      </c>
      <c r="L142" s="39">
        <v>3</v>
      </c>
      <c r="M142" s="39"/>
      <c r="N142" s="39"/>
      <c r="O142" s="39" t="s">
        <v>70</v>
      </c>
      <c r="P142" s="39" t="s">
        <v>70</v>
      </c>
      <c r="Q142" s="40">
        <v>5</v>
      </c>
      <c r="R142" s="40">
        <v>4</v>
      </c>
      <c r="S142" s="40">
        <v>5</v>
      </c>
      <c r="T142" s="40">
        <v>5</v>
      </c>
      <c r="U142" s="40">
        <v>5</v>
      </c>
      <c r="V142" s="40">
        <v>5</v>
      </c>
      <c r="W142" s="40">
        <v>5</v>
      </c>
      <c r="X142" s="40">
        <v>4</v>
      </c>
      <c r="Y142" s="40">
        <v>4</v>
      </c>
      <c r="Z142" s="40">
        <f t="shared" si="10"/>
        <v>4.666666666666667</v>
      </c>
      <c r="AA142" s="41">
        <v>5</v>
      </c>
      <c r="AB142" s="41">
        <v>5</v>
      </c>
      <c r="AC142" s="41">
        <v>5</v>
      </c>
      <c r="AD142" s="41">
        <v>5</v>
      </c>
      <c r="AE142" s="41">
        <v>5</v>
      </c>
      <c r="AF142" s="41">
        <v>5</v>
      </c>
      <c r="AG142" s="41">
        <v>5</v>
      </c>
      <c r="AH142" s="41">
        <v>5</v>
      </c>
      <c r="AI142" s="41">
        <v>5</v>
      </c>
      <c r="AJ142" s="41">
        <f t="shared" si="11"/>
        <v>5</v>
      </c>
      <c r="AK142" s="40"/>
      <c r="AL142" s="40"/>
      <c r="AM142" s="40"/>
      <c r="AN142" s="40"/>
      <c r="AO142" s="40"/>
      <c r="AP142" s="40"/>
      <c r="AQ142" s="40"/>
      <c r="AR142" s="40"/>
      <c r="AS142" s="40"/>
      <c r="AT142" s="40"/>
      <c r="AU142" s="40"/>
      <c r="AV142" s="40">
        <v>5</v>
      </c>
      <c r="AW142" s="42">
        <v>5</v>
      </c>
      <c r="AX142" s="42">
        <v>5</v>
      </c>
      <c r="AY142" s="42"/>
      <c r="AZ142" s="42"/>
      <c r="BA142" s="42">
        <f t="shared" si="12"/>
        <v>5</v>
      </c>
      <c r="BB142" s="43"/>
      <c r="BC142" s="43"/>
      <c r="BD142" s="44">
        <v>5</v>
      </c>
      <c r="BE142" s="44"/>
      <c r="BF142" s="45">
        <v>5</v>
      </c>
      <c r="BG142" s="45">
        <v>5</v>
      </c>
      <c r="BH142" s="45">
        <v>5</v>
      </c>
      <c r="BI142" s="45">
        <f t="shared" si="9"/>
        <v>5</v>
      </c>
    </row>
    <row r="143" spans="1:61" ht="16.5" customHeight="1">
      <c r="A143" s="48">
        <v>142</v>
      </c>
      <c r="B143" s="49" t="b">
        <v>1</v>
      </c>
      <c r="C143" s="37" t="s">
        <v>161</v>
      </c>
      <c r="D143" s="37" t="s">
        <v>165</v>
      </c>
      <c r="E143" s="38" t="s">
        <v>96</v>
      </c>
      <c r="F143" s="38" t="s">
        <v>68</v>
      </c>
      <c r="G143" s="38" t="s">
        <v>64</v>
      </c>
      <c r="H143" s="38"/>
      <c r="I143" s="39" t="s">
        <v>65</v>
      </c>
      <c r="J143" s="39" t="s">
        <v>83</v>
      </c>
      <c r="K143" s="39" t="s">
        <v>65</v>
      </c>
      <c r="L143" s="39">
        <v>3</v>
      </c>
      <c r="M143" s="39"/>
      <c r="N143" s="39"/>
      <c r="O143" s="39" t="s">
        <v>70</v>
      </c>
      <c r="P143" s="39"/>
      <c r="Q143" s="40">
        <v>4</v>
      </c>
      <c r="R143" s="40">
        <v>4</v>
      </c>
      <c r="S143" s="40">
        <v>5</v>
      </c>
      <c r="T143" s="40">
        <v>5</v>
      </c>
      <c r="U143" s="40">
        <v>5</v>
      </c>
      <c r="V143" s="40">
        <v>5</v>
      </c>
      <c r="W143" s="40">
        <v>4</v>
      </c>
      <c r="X143" s="40">
        <v>3</v>
      </c>
      <c r="Y143" s="40">
        <v>4</v>
      </c>
      <c r="Z143" s="40">
        <f t="shared" si="10"/>
        <v>4.333333333333333</v>
      </c>
      <c r="AA143" s="41">
        <v>4</v>
      </c>
      <c r="AB143" s="41">
        <v>5</v>
      </c>
      <c r="AC143" s="41">
        <v>5</v>
      </c>
      <c r="AD143" s="41">
        <v>5</v>
      </c>
      <c r="AE143" s="41">
        <v>5</v>
      </c>
      <c r="AF143" s="41">
        <v>5</v>
      </c>
      <c r="AG143" s="41">
        <v>5</v>
      </c>
      <c r="AH143" s="41">
        <v>5</v>
      </c>
      <c r="AI143" s="41">
        <v>5</v>
      </c>
      <c r="AJ143" s="41">
        <f t="shared" si="11"/>
        <v>4.8888888888888893</v>
      </c>
      <c r="AK143" s="40"/>
      <c r="AL143" s="40"/>
      <c r="AM143" s="40"/>
      <c r="AN143" s="40"/>
      <c r="AO143" s="40"/>
      <c r="AP143" s="40"/>
      <c r="AQ143" s="40"/>
      <c r="AR143" s="40"/>
      <c r="AS143" s="40"/>
      <c r="AT143" s="40"/>
      <c r="AU143" s="40"/>
      <c r="AV143" s="40">
        <v>5</v>
      </c>
      <c r="AW143" s="42">
        <v>5</v>
      </c>
      <c r="AX143" s="42">
        <v>5</v>
      </c>
      <c r="AY143" s="42">
        <v>5</v>
      </c>
      <c r="AZ143" s="42"/>
      <c r="BA143" s="42">
        <f t="shared" si="12"/>
        <v>5</v>
      </c>
      <c r="BB143" s="43"/>
      <c r="BC143" s="43"/>
      <c r="BD143" s="44">
        <v>5</v>
      </c>
      <c r="BE143" s="44"/>
      <c r="BF143" s="45">
        <v>4</v>
      </c>
      <c r="BG143" s="45"/>
      <c r="BH143" s="45">
        <v>1</v>
      </c>
      <c r="BI143" s="45">
        <f t="shared" si="9"/>
        <v>3.3333333333333335</v>
      </c>
    </row>
    <row r="144" spans="1:61" ht="16.5" customHeight="1">
      <c r="A144" s="48">
        <v>143</v>
      </c>
      <c r="B144" s="49" t="b">
        <v>1</v>
      </c>
      <c r="C144" s="37" t="s">
        <v>161</v>
      </c>
      <c r="D144" s="37" t="s">
        <v>165</v>
      </c>
      <c r="E144" s="38" t="s">
        <v>86</v>
      </c>
      <c r="F144" s="38" t="s">
        <v>78</v>
      </c>
      <c r="G144" s="38" t="s">
        <v>78</v>
      </c>
      <c r="H144" s="38"/>
      <c r="I144" s="39" t="s">
        <v>65</v>
      </c>
      <c r="J144" s="39" t="s">
        <v>83</v>
      </c>
      <c r="K144" s="39" t="s">
        <v>65</v>
      </c>
      <c r="L144" s="39">
        <v>3</v>
      </c>
      <c r="M144" s="39"/>
      <c r="N144" s="39"/>
      <c r="O144" s="39" t="s">
        <v>70</v>
      </c>
      <c r="P144" s="39"/>
      <c r="Q144" s="40">
        <v>3</v>
      </c>
      <c r="R144" s="40">
        <v>3</v>
      </c>
      <c r="S144" s="40">
        <v>3</v>
      </c>
      <c r="T144" s="40">
        <v>3</v>
      </c>
      <c r="U144" s="40">
        <v>3</v>
      </c>
      <c r="V144" s="40">
        <v>3</v>
      </c>
      <c r="W144" s="40">
        <v>3</v>
      </c>
      <c r="X144" s="40">
        <v>3</v>
      </c>
      <c r="Y144" s="40">
        <v>3</v>
      </c>
      <c r="Z144" s="40">
        <f t="shared" si="10"/>
        <v>3</v>
      </c>
      <c r="AA144" s="41">
        <v>4</v>
      </c>
      <c r="AB144" s="41">
        <v>4</v>
      </c>
      <c r="AC144" s="41">
        <v>4</v>
      </c>
      <c r="AD144" s="41">
        <v>4</v>
      </c>
      <c r="AE144" s="41">
        <v>4</v>
      </c>
      <c r="AF144" s="41">
        <v>4</v>
      </c>
      <c r="AG144" s="41">
        <v>4</v>
      </c>
      <c r="AH144" s="41">
        <v>4</v>
      </c>
      <c r="AI144" s="41">
        <v>4</v>
      </c>
      <c r="AJ144" s="41">
        <f t="shared" si="11"/>
        <v>4</v>
      </c>
      <c r="AK144" s="40"/>
      <c r="AL144" s="40"/>
      <c r="AM144" s="40"/>
      <c r="AN144" s="40"/>
      <c r="AO144" s="40"/>
      <c r="AP144" s="40"/>
      <c r="AQ144" s="40"/>
      <c r="AR144" s="40"/>
      <c r="AS144" s="40"/>
      <c r="AT144" s="40"/>
      <c r="AU144" s="40"/>
      <c r="AV144" s="40">
        <v>4</v>
      </c>
      <c r="AW144" s="42">
        <v>4</v>
      </c>
      <c r="AX144" s="42">
        <v>5</v>
      </c>
      <c r="AY144" s="42"/>
      <c r="AZ144" s="42"/>
      <c r="BA144" s="42">
        <f t="shared" si="12"/>
        <v>4.5</v>
      </c>
      <c r="BB144" s="43">
        <v>3</v>
      </c>
      <c r="BC144" s="43"/>
      <c r="BD144" s="44">
        <v>3</v>
      </c>
      <c r="BE144" s="44"/>
      <c r="BF144" s="45">
        <v>1</v>
      </c>
      <c r="BG144" s="45">
        <v>5</v>
      </c>
      <c r="BH144" s="45">
        <v>5</v>
      </c>
      <c r="BI144" s="45">
        <f t="shared" si="9"/>
        <v>3.4</v>
      </c>
    </row>
    <row r="145" spans="1:61" ht="16.5" customHeight="1">
      <c r="A145" s="48">
        <v>144</v>
      </c>
      <c r="B145" s="49" t="b">
        <v>0</v>
      </c>
      <c r="C145" s="37" t="s">
        <v>166</v>
      </c>
      <c r="D145" s="37"/>
      <c r="E145" s="38" t="s">
        <v>167</v>
      </c>
      <c r="F145" s="38" t="s">
        <v>74</v>
      </c>
      <c r="G145" s="38" t="s">
        <v>78</v>
      </c>
      <c r="H145" s="38">
        <v>2015</v>
      </c>
      <c r="I145" s="46" t="s">
        <v>69</v>
      </c>
      <c r="J145" s="39" t="s">
        <v>83</v>
      </c>
      <c r="K145" s="39"/>
      <c r="L145" s="39">
        <v>2.5</v>
      </c>
      <c r="M145" s="39"/>
      <c r="N145" s="39"/>
      <c r="O145" s="39" t="s">
        <v>70</v>
      </c>
      <c r="P145" s="39"/>
      <c r="Q145" s="40">
        <v>2</v>
      </c>
      <c r="R145" s="40">
        <v>2</v>
      </c>
      <c r="S145" s="40">
        <v>2</v>
      </c>
      <c r="T145" s="40">
        <v>3</v>
      </c>
      <c r="U145" s="40">
        <v>3</v>
      </c>
      <c r="V145" s="40">
        <v>3</v>
      </c>
      <c r="W145" s="40">
        <v>3</v>
      </c>
      <c r="X145" s="40">
        <v>3</v>
      </c>
      <c r="Y145" s="40">
        <v>3</v>
      </c>
      <c r="Z145" s="40">
        <f t="shared" si="10"/>
        <v>2.6666666666666665</v>
      </c>
      <c r="AA145" s="41">
        <v>1</v>
      </c>
      <c r="AB145" s="41">
        <v>1</v>
      </c>
      <c r="AC145" s="41">
        <v>2</v>
      </c>
      <c r="AD145" s="41">
        <v>3</v>
      </c>
      <c r="AE145" s="41">
        <v>3</v>
      </c>
      <c r="AF145" s="41">
        <v>3</v>
      </c>
      <c r="AG145" s="41">
        <v>3</v>
      </c>
      <c r="AH145" s="41">
        <v>3</v>
      </c>
      <c r="AI145" s="41">
        <v>3</v>
      </c>
      <c r="AJ145" s="41">
        <f t="shared" si="11"/>
        <v>2.4444444444444446</v>
      </c>
      <c r="AK145" s="40"/>
      <c r="AL145" s="40"/>
      <c r="AM145" s="40"/>
      <c r="AN145" s="40"/>
      <c r="AO145" s="40"/>
      <c r="AP145" s="40"/>
      <c r="AQ145" s="40"/>
      <c r="AR145" s="40"/>
      <c r="AS145" s="40"/>
      <c r="AT145" s="40"/>
      <c r="AU145" s="40"/>
      <c r="AV145" s="40">
        <v>1</v>
      </c>
      <c r="AW145" s="42">
        <v>4</v>
      </c>
      <c r="AX145" s="42">
        <v>4</v>
      </c>
      <c r="AY145" s="42"/>
      <c r="AZ145" s="42"/>
      <c r="BA145" s="42">
        <f t="shared" si="12"/>
        <v>4</v>
      </c>
      <c r="BB145" s="43"/>
      <c r="BC145" s="43"/>
      <c r="BD145" s="44"/>
      <c r="BE145" s="44"/>
      <c r="BF145" s="45">
        <v>4</v>
      </c>
      <c r="BG145" s="45"/>
      <c r="BH145" s="45"/>
      <c r="BI145" s="45">
        <f t="shared" si="9"/>
        <v>4</v>
      </c>
    </row>
    <row r="146" spans="1:61" ht="16.5" customHeight="1">
      <c r="A146" s="48">
        <v>145</v>
      </c>
      <c r="B146" s="49" t="b">
        <v>0</v>
      </c>
      <c r="C146" s="37" t="s">
        <v>166</v>
      </c>
      <c r="D146" s="37" t="s">
        <v>98</v>
      </c>
      <c r="E146" s="38" t="s">
        <v>127</v>
      </c>
      <c r="F146" s="38" t="s">
        <v>74</v>
      </c>
      <c r="G146" s="38"/>
      <c r="H146" s="38"/>
      <c r="I146" s="39" t="s">
        <v>65</v>
      </c>
      <c r="J146" s="39" t="s">
        <v>87</v>
      </c>
      <c r="K146" s="39"/>
      <c r="L146" s="39">
        <v>2.5</v>
      </c>
      <c r="M146" s="39"/>
      <c r="N146" s="39"/>
      <c r="O146" s="39" t="s">
        <v>70</v>
      </c>
      <c r="P146" s="39" t="s">
        <v>70</v>
      </c>
      <c r="Q146" s="40">
        <v>4</v>
      </c>
      <c r="R146" s="40">
        <v>4</v>
      </c>
      <c r="S146" s="40">
        <v>4</v>
      </c>
      <c r="T146" s="40">
        <v>4</v>
      </c>
      <c r="U146" s="40">
        <v>3</v>
      </c>
      <c r="V146" s="40">
        <v>4</v>
      </c>
      <c r="W146" s="40">
        <v>4</v>
      </c>
      <c r="X146" s="40">
        <v>3</v>
      </c>
      <c r="Y146" s="40">
        <v>2</v>
      </c>
      <c r="Z146" s="40">
        <f t="shared" si="10"/>
        <v>3.5555555555555554</v>
      </c>
      <c r="AA146" s="41">
        <v>4</v>
      </c>
      <c r="AB146" s="41">
        <v>3</v>
      </c>
      <c r="AC146" s="41">
        <v>3</v>
      </c>
      <c r="AD146" s="41">
        <v>3</v>
      </c>
      <c r="AE146" s="41">
        <v>3</v>
      </c>
      <c r="AF146" s="41">
        <v>3</v>
      </c>
      <c r="AG146" s="41">
        <v>4</v>
      </c>
      <c r="AH146" s="41">
        <v>4</v>
      </c>
      <c r="AI146" s="41">
        <v>3</v>
      </c>
      <c r="AJ146" s="41">
        <f t="shared" si="11"/>
        <v>3.3333333333333335</v>
      </c>
      <c r="AK146" s="40"/>
      <c r="AL146" s="40"/>
      <c r="AM146" s="40"/>
      <c r="AN146" s="40"/>
      <c r="AO146" s="40"/>
      <c r="AP146" s="40"/>
      <c r="AQ146" s="40"/>
      <c r="AR146" s="40"/>
      <c r="AS146" s="40"/>
      <c r="AT146" s="40"/>
      <c r="AU146" s="40"/>
      <c r="AV146" s="40">
        <v>4</v>
      </c>
      <c r="AW146" s="42">
        <v>4</v>
      </c>
      <c r="AX146" s="42">
        <v>4</v>
      </c>
      <c r="AY146" s="42"/>
      <c r="AZ146" s="42"/>
      <c r="BA146" s="42">
        <f t="shared" si="12"/>
        <v>4</v>
      </c>
      <c r="BB146" s="43">
        <v>4</v>
      </c>
      <c r="BC146" s="43"/>
      <c r="BD146" s="44"/>
      <c r="BE146" s="44"/>
      <c r="BF146" s="45"/>
      <c r="BG146" s="45">
        <v>5</v>
      </c>
      <c r="BH146" s="45">
        <v>5</v>
      </c>
      <c r="BI146" s="45">
        <f t="shared" si="9"/>
        <v>4.666666666666667</v>
      </c>
    </row>
    <row r="147" spans="1:61" ht="16.5" customHeight="1">
      <c r="A147" s="48">
        <v>146</v>
      </c>
      <c r="B147" s="49" t="b">
        <v>0</v>
      </c>
      <c r="C147" s="37" t="s">
        <v>166</v>
      </c>
      <c r="D147" s="37" t="s">
        <v>134</v>
      </c>
      <c r="E147" s="38" t="s">
        <v>128</v>
      </c>
      <c r="F147" s="38" t="s">
        <v>78</v>
      </c>
      <c r="G147" s="38" t="s">
        <v>78</v>
      </c>
      <c r="H147" s="38">
        <v>2009</v>
      </c>
      <c r="I147" s="46" t="s">
        <v>69</v>
      </c>
      <c r="J147" s="46" t="s">
        <v>87</v>
      </c>
      <c r="K147" s="39"/>
      <c r="L147" s="39">
        <v>2.5</v>
      </c>
      <c r="M147" s="39"/>
      <c r="N147" s="39"/>
      <c r="O147" s="39" t="s">
        <v>70</v>
      </c>
      <c r="P147" s="39"/>
      <c r="Q147" s="40">
        <v>3</v>
      </c>
      <c r="R147" s="40">
        <v>3</v>
      </c>
      <c r="S147" s="40">
        <v>3</v>
      </c>
      <c r="T147" s="40">
        <v>3</v>
      </c>
      <c r="U147" s="40">
        <v>3</v>
      </c>
      <c r="V147" s="40">
        <v>3</v>
      </c>
      <c r="W147" s="40">
        <v>3</v>
      </c>
      <c r="X147" s="40">
        <v>3</v>
      </c>
      <c r="Y147" s="40">
        <v>3</v>
      </c>
      <c r="Z147" s="40">
        <f t="shared" si="10"/>
        <v>3</v>
      </c>
      <c r="AA147" s="41">
        <v>3</v>
      </c>
      <c r="AB147" s="41">
        <v>3</v>
      </c>
      <c r="AC147" s="41">
        <v>4</v>
      </c>
      <c r="AD147" s="41">
        <v>5</v>
      </c>
      <c r="AE147" s="41">
        <v>4</v>
      </c>
      <c r="AF147" s="41">
        <v>5</v>
      </c>
      <c r="AG147" s="41">
        <v>4</v>
      </c>
      <c r="AH147" s="41">
        <v>4</v>
      </c>
      <c r="AI147" s="41">
        <v>4</v>
      </c>
      <c r="AJ147" s="41">
        <f t="shared" si="11"/>
        <v>4</v>
      </c>
      <c r="AK147" s="40"/>
      <c r="AL147" s="40"/>
      <c r="AM147" s="40"/>
      <c r="AN147" s="40"/>
      <c r="AO147" s="40"/>
      <c r="AP147" s="40"/>
      <c r="AQ147" s="40"/>
      <c r="AR147" s="40"/>
      <c r="AS147" s="40"/>
      <c r="AT147" s="40"/>
      <c r="AU147" s="40"/>
      <c r="AV147" s="40">
        <v>5</v>
      </c>
      <c r="AW147" s="42">
        <v>4</v>
      </c>
      <c r="AX147" s="42">
        <v>4</v>
      </c>
      <c r="AY147" s="42">
        <v>4</v>
      </c>
      <c r="AZ147" s="42"/>
      <c r="BA147" s="42">
        <f t="shared" si="12"/>
        <v>4</v>
      </c>
      <c r="BB147" s="43">
        <v>4</v>
      </c>
      <c r="BC147" s="43"/>
      <c r="BD147" s="44"/>
      <c r="BE147" s="44"/>
      <c r="BF147" s="45">
        <v>5</v>
      </c>
      <c r="BG147" s="45"/>
      <c r="BH147" s="45">
        <v>5</v>
      </c>
      <c r="BI147" s="45">
        <f t="shared" si="9"/>
        <v>4.666666666666667</v>
      </c>
    </row>
    <row r="148" spans="1:61" ht="16.5" customHeight="1">
      <c r="A148" s="48">
        <v>147</v>
      </c>
      <c r="B148" s="49" t="b">
        <v>0</v>
      </c>
      <c r="C148" s="37" t="s">
        <v>138</v>
      </c>
      <c r="D148" s="37" t="s">
        <v>98</v>
      </c>
      <c r="E148" s="38" t="s">
        <v>96</v>
      </c>
      <c r="F148" s="38" t="s">
        <v>63</v>
      </c>
      <c r="G148" s="38"/>
      <c r="H148" s="38"/>
      <c r="I148" s="39" t="s">
        <v>65</v>
      </c>
      <c r="J148" s="39" t="s">
        <v>87</v>
      </c>
      <c r="K148" s="39"/>
      <c r="L148" s="39">
        <v>3</v>
      </c>
      <c r="M148" s="39"/>
      <c r="N148" s="39"/>
      <c r="O148" s="39" t="s">
        <v>70</v>
      </c>
      <c r="P148" s="39" t="s">
        <v>70</v>
      </c>
      <c r="Q148" s="40">
        <v>3</v>
      </c>
      <c r="R148" s="40">
        <v>3</v>
      </c>
      <c r="S148" s="40">
        <v>4</v>
      </c>
      <c r="T148" s="40">
        <v>4</v>
      </c>
      <c r="U148" s="40">
        <v>4</v>
      </c>
      <c r="V148" s="40">
        <v>3</v>
      </c>
      <c r="W148" s="40">
        <v>3</v>
      </c>
      <c r="X148" s="40">
        <v>3</v>
      </c>
      <c r="Y148" s="40">
        <v>3</v>
      </c>
      <c r="Z148" s="40">
        <f t="shared" si="10"/>
        <v>3.3333333333333335</v>
      </c>
      <c r="AA148" s="41">
        <v>2</v>
      </c>
      <c r="AB148" s="41">
        <v>2</v>
      </c>
      <c r="AC148" s="41">
        <v>2</v>
      </c>
      <c r="AD148" s="41">
        <v>4</v>
      </c>
      <c r="AE148" s="41">
        <v>4</v>
      </c>
      <c r="AF148" s="41">
        <v>4</v>
      </c>
      <c r="AG148" s="41">
        <v>3</v>
      </c>
      <c r="AH148" s="41">
        <v>1</v>
      </c>
      <c r="AI148" s="41">
        <v>3</v>
      </c>
      <c r="AJ148" s="41">
        <f t="shared" si="11"/>
        <v>2.7777777777777777</v>
      </c>
      <c r="AK148" s="40"/>
      <c r="AL148" s="40"/>
      <c r="AM148" s="40"/>
      <c r="AN148" s="40"/>
      <c r="AO148" s="40"/>
      <c r="AP148" s="40"/>
      <c r="AQ148" s="40"/>
      <c r="AR148" s="40"/>
      <c r="AS148" s="40"/>
      <c r="AT148" s="40"/>
      <c r="AU148" s="40"/>
      <c r="AV148" s="40">
        <v>1</v>
      </c>
      <c r="AW148" s="42">
        <v>2</v>
      </c>
      <c r="AX148" s="42">
        <v>3</v>
      </c>
      <c r="AY148" s="42">
        <v>3</v>
      </c>
      <c r="AZ148" s="42"/>
      <c r="BA148" s="42">
        <f t="shared" si="12"/>
        <v>2.6666666666666665</v>
      </c>
      <c r="BB148" s="43">
        <v>2</v>
      </c>
      <c r="BC148" s="43"/>
      <c r="BD148" s="44">
        <v>3</v>
      </c>
      <c r="BE148" s="44"/>
      <c r="BF148" s="45">
        <v>4</v>
      </c>
      <c r="BG148" s="45">
        <v>4</v>
      </c>
      <c r="BH148" s="45">
        <v>1</v>
      </c>
      <c r="BI148" s="45">
        <f t="shared" si="9"/>
        <v>2.8</v>
      </c>
    </row>
    <row r="149" spans="1:61" ht="16.5" customHeight="1">
      <c r="A149" s="48">
        <v>148</v>
      </c>
      <c r="B149" s="49" t="b">
        <v>0</v>
      </c>
      <c r="C149" s="37" t="s">
        <v>143</v>
      </c>
      <c r="D149" s="37" t="s">
        <v>98</v>
      </c>
      <c r="E149" s="38" t="s">
        <v>75</v>
      </c>
      <c r="F149" s="38" t="s">
        <v>105</v>
      </c>
      <c r="G149" s="38"/>
      <c r="H149" s="38"/>
      <c r="I149" s="46" t="s">
        <v>69</v>
      </c>
      <c r="J149" s="39" t="s">
        <v>87</v>
      </c>
      <c r="K149" s="39" t="s">
        <v>65</v>
      </c>
      <c r="L149" s="39" t="s">
        <v>92</v>
      </c>
      <c r="M149" s="39" t="s">
        <v>70</v>
      </c>
      <c r="N149" s="39"/>
      <c r="O149" s="39"/>
      <c r="P149" s="39"/>
      <c r="Q149" s="40">
        <v>4</v>
      </c>
      <c r="R149" s="40">
        <v>4</v>
      </c>
      <c r="S149" s="40">
        <v>4</v>
      </c>
      <c r="T149" s="40">
        <v>3</v>
      </c>
      <c r="U149" s="40">
        <v>3</v>
      </c>
      <c r="V149" s="40">
        <v>3</v>
      </c>
      <c r="W149" s="40">
        <v>3</v>
      </c>
      <c r="X149" s="40">
        <v>3</v>
      </c>
      <c r="Y149" s="40">
        <v>3</v>
      </c>
      <c r="Z149" s="40">
        <f t="shared" si="10"/>
        <v>3.3333333333333335</v>
      </c>
      <c r="AA149" s="41">
        <v>5</v>
      </c>
      <c r="AB149" s="41">
        <v>3</v>
      </c>
      <c r="AC149" s="41">
        <v>4</v>
      </c>
      <c r="AD149" s="41">
        <v>3</v>
      </c>
      <c r="AE149" s="41">
        <v>3</v>
      </c>
      <c r="AF149" s="41">
        <v>4</v>
      </c>
      <c r="AG149" s="41">
        <v>3</v>
      </c>
      <c r="AH149" s="41">
        <v>3</v>
      </c>
      <c r="AI149" s="41">
        <v>4</v>
      </c>
      <c r="AJ149" s="41">
        <f t="shared" si="11"/>
        <v>3.5555555555555554</v>
      </c>
      <c r="AK149" s="40"/>
      <c r="AL149" s="40"/>
      <c r="AM149" s="40"/>
      <c r="AN149" s="40"/>
      <c r="AO149" s="40"/>
      <c r="AP149" s="40"/>
      <c r="AQ149" s="40"/>
      <c r="AR149" s="40"/>
      <c r="AS149" s="40"/>
      <c r="AT149" s="40"/>
      <c r="AU149" s="40"/>
      <c r="AV149" s="40">
        <v>4</v>
      </c>
      <c r="AW149" s="42">
        <v>1</v>
      </c>
      <c r="AX149" s="42"/>
      <c r="AY149" s="42"/>
      <c r="AZ149" s="42"/>
      <c r="BA149" s="42">
        <f t="shared" si="12"/>
        <v>1</v>
      </c>
      <c r="BB149" s="43">
        <v>4</v>
      </c>
      <c r="BC149" s="43"/>
      <c r="BD149" s="44"/>
      <c r="BE149" s="44">
        <v>3</v>
      </c>
      <c r="BF149" s="45">
        <v>1</v>
      </c>
      <c r="BG149" s="45">
        <v>4</v>
      </c>
      <c r="BH149" s="45">
        <v>1</v>
      </c>
      <c r="BI149" s="45">
        <f t="shared" si="9"/>
        <v>2.6</v>
      </c>
    </row>
    <row r="150" spans="1:61" ht="16.5" customHeight="1">
      <c r="A150" s="48">
        <v>149</v>
      </c>
      <c r="B150" s="49" t="b">
        <v>1</v>
      </c>
      <c r="C150" s="37" t="s">
        <v>101</v>
      </c>
      <c r="D150" s="37" t="s">
        <v>98</v>
      </c>
      <c r="E150" s="38" t="s">
        <v>168</v>
      </c>
      <c r="F150" s="38" t="s">
        <v>78</v>
      </c>
      <c r="G150" s="38"/>
      <c r="H150" s="38"/>
      <c r="I150" s="46" t="s">
        <v>69</v>
      </c>
      <c r="J150" s="39" t="s">
        <v>87</v>
      </c>
      <c r="K150" s="39" t="s">
        <v>69</v>
      </c>
      <c r="L150" s="39" t="s">
        <v>92</v>
      </c>
      <c r="M150" s="39" t="s">
        <v>70</v>
      </c>
      <c r="N150" s="39"/>
      <c r="O150" s="39"/>
      <c r="P150" s="39"/>
      <c r="Q150" s="40">
        <v>4</v>
      </c>
      <c r="R150" s="40">
        <v>4</v>
      </c>
      <c r="S150" s="40">
        <v>4</v>
      </c>
      <c r="T150" s="40">
        <v>4</v>
      </c>
      <c r="U150" s="40">
        <v>4</v>
      </c>
      <c r="V150" s="40">
        <v>4</v>
      </c>
      <c r="W150" s="40">
        <v>4</v>
      </c>
      <c r="X150" s="40">
        <v>4</v>
      </c>
      <c r="Y150" s="40">
        <v>4</v>
      </c>
      <c r="Z150" s="40">
        <f t="shared" si="10"/>
        <v>4</v>
      </c>
      <c r="AA150" s="41">
        <v>4</v>
      </c>
      <c r="AB150" s="41">
        <v>4</v>
      </c>
      <c r="AC150" s="41">
        <v>4</v>
      </c>
      <c r="AD150" s="41">
        <v>4</v>
      </c>
      <c r="AE150" s="41">
        <v>4</v>
      </c>
      <c r="AF150" s="41">
        <v>4</v>
      </c>
      <c r="AG150" s="41">
        <v>4</v>
      </c>
      <c r="AH150" s="41">
        <v>4</v>
      </c>
      <c r="AI150" s="41">
        <v>4</v>
      </c>
      <c r="AJ150" s="41">
        <f t="shared" si="11"/>
        <v>4</v>
      </c>
      <c r="AK150" s="40"/>
      <c r="AL150" s="40"/>
      <c r="AM150" s="40"/>
      <c r="AN150" s="40"/>
      <c r="AO150" s="40"/>
      <c r="AP150" s="40"/>
      <c r="AQ150" s="40"/>
      <c r="AR150" s="40"/>
      <c r="AS150" s="40"/>
      <c r="AT150" s="40"/>
      <c r="AU150" s="40"/>
      <c r="AV150" s="40">
        <v>4</v>
      </c>
      <c r="AW150" s="42">
        <v>4</v>
      </c>
      <c r="AX150" s="42">
        <v>4</v>
      </c>
      <c r="AY150" s="42"/>
      <c r="AZ150" s="42"/>
      <c r="BA150" s="42">
        <f t="shared" si="12"/>
        <v>4</v>
      </c>
      <c r="BB150" s="43">
        <v>4</v>
      </c>
      <c r="BC150" s="43">
        <v>4</v>
      </c>
      <c r="BD150" s="44">
        <v>4</v>
      </c>
      <c r="BE150" s="44">
        <v>4</v>
      </c>
      <c r="BF150" s="45">
        <v>4</v>
      </c>
      <c r="BG150" s="45">
        <v>3</v>
      </c>
      <c r="BH150" s="45"/>
      <c r="BI150" s="45">
        <f t="shared" si="9"/>
        <v>3.8333333333333335</v>
      </c>
    </row>
    <row r="151" spans="1:61" ht="16.5" customHeight="1">
      <c r="A151" s="48">
        <v>150</v>
      </c>
      <c r="B151" s="49" t="b">
        <v>0</v>
      </c>
      <c r="C151" s="37" t="s">
        <v>169</v>
      </c>
      <c r="D151" s="37" t="s">
        <v>170</v>
      </c>
      <c r="E151" s="38" t="s">
        <v>72</v>
      </c>
      <c r="F151" s="38" t="s">
        <v>74</v>
      </c>
      <c r="G151" s="38"/>
      <c r="H151" s="38"/>
      <c r="I151" s="39" t="s">
        <v>65</v>
      </c>
      <c r="J151" s="39" t="s">
        <v>87</v>
      </c>
      <c r="K151" s="39" t="s">
        <v>65</v>
      </c>
      <c r="L151" s="39" t="s">
        <v>92</v>
      </c>
      <c r="M151" s="39" t="s">
        <v>70</v>
      </c>
      <c r="N151" s="39"/>
      <c r="O151" s="39"/>
      <c r="P151" s="39"/>
      <c r="Q151" s="40">
        <v>3</v>
      </c>
      <c r="R151" s="40">
        <v>3</v>
      </c>
      <c r="S151" s="40">
        <v>3</v>
      </c>
      <c r="T151" s="40">
        <v>3</v>
      </c>
      <c r="U151" s="40">
        <v>3</v>
      </c>
      <c r="V151" s="40">
        <v>3</v>
      </c>
      <c r="W151" s="40">
        <v>3</v>
      </c>
      <c r="X151" s="40">
        <v>3</v>
      </c>
      <c r="Y151" s="40">
        <v>3</v>
      </c>
      <c r="Z151" s="40">
        <f t="shared" si="10"/>
        <v>3</v>
      </c>
      <c r="AA151" s="41">
        <v>4</v>
      </c>
      <c r="AB151" s="41">
        <v>4</v>
      </c>
      <c r="AC151" s="41">
        <v>4</v>
      </c>
      <c r="AD151" s="41">
        <v>3</v>
      </c>
      <c r="AE151" s="41">
        <v>3</v>
      </c>
      <c r="AF151" s="41">
        <v>4</v>
      </c>
      <c r="AG151" s="41">
        <v>4</v>
      </c>
      <c r="AH151" s="41">
        <v>4</v>
      </c>
      <c r="AI151" s="41">
        <v>4</v>
      </c>
      <c r="AJ151" s="41">
        <f t="shared" si="11"/>
        <v>3.7777777777777777</v>
      </c>
      <c r="AK151" s="40"/>
      <c r="AL151" s="40"/>
      <c r="AM151" s="40"/>
      <c r="AN151" s="40"/>
      <c r="AO151" s="40"/>
      <c r="AP151" s="40"/>
      <c r="AQ151" s="40"/>
      <c r="AR151" s="40"/>
      <c r="AS151" s="40"/>
      <c r="AT151" s="40"/>
      <c r="AU151" s="40"/>
      <c r="AV151" s="40">
        <v>4</v>
      </c>
      <c r="AW151" s="42">
        <v>3</v>
      </c>
      <c r="AX151" s="42">
        <v>3</v>
      </c>
      <c r="AY151" s="42"/>
      <c r="AZ151" s="42"/>
      <c r="BA151" s="42">
        <f t="shared" si="12"/>
        <v>3</v>
      </c>
      <c r="BB151" s="43">
        <v>4</v>
      </c>
      <c r="BC151" s="43"/>
      <c r="BD151" s="44"/>
      <c r="BE151" s="44">
        <v>2</v>
      </c>
      <c r="BF151" s="45">
        <v>2</v>
      </c>
      <c r="BG151" s="45">
        <v>2</v>
      </c>
      <c r="BH151" s="45"/>
      <c r="BI151" s="45">
        <f t="shared" si="9"/>
        <v>2.5</v>
      </c>
    </row>
    <row r="152" spans="1:61" ht="16.5" customHeight="1">
      <c r="A152" s="48">
        <v>151</v>
      </c>
      <c r="B152" s="49" t="b">
        <v>0</v>
      </c>
      <c r="C152" s="37" t="s">
        <v>114</v>
      </c>
      <c r="D152" s="37" t="s">
        <v>170</v>
      </c>
      <c r="E152" s="38" t="s">
        <v>111</v>
      </c>
      <c r="F152" s="38" t="s">
        <v>63</v>
      </c>
      <c r="G152" s="38"/>
      <c r="H152" s="38"/>
      <c r="I152" s="46" t="s">
        <v>69</v>
      </c>
      <c r="J152" s="46" t="s">
        <v>87</v>
      </c>
      <c r="K152" s="39" t="s">
        <v>69</v>
      </c>
      <c r="L152" s="39" t="s">
        <v>92</v>
      </c>
      <c r="M152" s="39" t="s">
        <v>70</v>
      </c>
      <c r="N152" s="39"/>
      <c r="O152" s="39"/>
      <c r="P152" s="39"/>
      <c r="Q152" s="40">
        <v>4</v>
      </c>
      <c r="R152" s="40">
        <v>4</v>
      </c>
      <c r="S152" s="40">
        <v>4</v>
      </c>
      <c r="T152" s="40">
        <v>4</v>
      </c>
      <c r="U152" s="40">
        <v>4</v>
      </c>
      <c r="V152" s="40">
        <v>4</v>
      </c>
      <c r="W152" s="40">
        <v>4</v>
      </c>
      <c r="X152" s="40">
        <v>3</v>
      </c>
      <c r="Y152" s="40">
        <v>4</v>
      </c>
      <c r="Z152" s="40">
        <f t="shared" si="10"/>
        <v>3.8888888888888888</v>
      </c>
      <c r="AA152" s="41">
        <v>4</v>
      </c>
      <c r="AB152" s="41">
        <v>4</v>
      </c>
      <c r="AC152" s="41">
        <v>4</v>
      </c>
      <c r="AD152" s="41">
        <v>3</v>
      </c>
      <c r="AE152" s="41">
        <v>3</v>
      </c>
      <c r="AF152" s="41">
        <v>4</v>
      </c>
      <c r="AG152" s="41">
        <v>4</v>
      </c>
      <c r="AH152" s="41">
        <v>4</v>
      </c>
      <c r="AI152" s="41">
        <v>4</v>
      </c>
      <c r="AJ152" s="41">
        <f t="shared" si="11"/>
        <v>3.7777777777777777</v>
      </c>
      <c r="AK152" s="40"/>
      <c r="AL152" s="40"/>
      <c r="AM152" s="40"/>
      <c r="AN152" s="40"/>
      <c r="AO152" s="40"/>
      <c r="AP152" s="40"/>
      <c r="AQ152" s="40"/>
      <c r="AR152" s="40"/>
      <c r="AS152" s="40"/>
      <c r="AT152" s="40"/>
      <c r="AU152" s="40"/>
      <c r="AV152" s="40">
        <v>4</v>
      </c>
      <c r="AW152" s="42">
        <v>4</v>
      </c>
      <c r="AX152" s="42">
        <v>4</v>
      </c>
      <c r="AY152" s="42">
        <v>3</v>
      </c>
      <c r="AZ152" s="42"/>
      <c r="BA152" s="42">
        <f t="shared" si="12"/>
        <v>3.6666666666666665</v>
      </c>
      <c r="BB152" s="43">
        <v>4</v>
      </c>
      <c r="BC152" s="43">
        <v>4</v>
      </c>
      <c r="BD152" s="44">
        <v>4</v>
      </c>
      <c r="BE152" s="44"/>
      <c r="BF152" s="45">
        <v>4</v>
      </c>
      <c r="BG152" s="45">
        <v>4</v>
      </c>
      <c r="BH152" s="45"/>
      <c r="BI152" s="45">
        <f t="shared" si="9"/>
        <v>4</v>
      </c>
    </row>
    <row r="153" spans="1:61" ht="16.5" customHeight="1">
      <c r="A153" s="48">
        <v>152</v>
      </c>
      <c r="B153" s="49" t="b">
        <v>0</v>
      </c>
      <c r="C153" s="37" t="s">
        <v>138</v>
      </c>
      <c r="D153" s="37" t="s">
        <v>98</v>
      </c>
      <c r="E153" s="38" t="s">
        <v>96</v>
      </c>
      <c r="F153" s="38" t="s">
        <v>74</v>
      </c>
      <c r="G153" s="38" t="s">
        <v>64</v>
      </c>
      <c r="H153" s="38"/>
      <c r="I153" s="39" t="s">
        <v>65</v>
      </c>
      <c r="J153" s="39" t="s">
        <v>87</v>
      </c>
      <c r="K153" s="39" t="s">
        <v>65</v>
      </c>
      <c r="L153" s="39">
        <v>3</v>
      </c>
      <c r="M153" s="39"/>
      <c r="N153" s="39"/>
      <c r="O153" s="39" t="s">
        <v>70</v>
      </c>
      <c r="P153" s="39" t="s">
        <v>70</v>
      </c>
      <c r="Q153" s="40">
        <v>3</v>
      </c>
      <c r="R153" s="40">
        <v>1</v>
      </c>
      <c r="S153" s="40">
        <v>3</v>
      </c>
      <c r="T153" s="40">
        <v>3</v>
      </c>
      <c r="U153" s="40">
        <v>3</v>
      </c>
      <c r="V153" s="40">
        <v>3</v>
      </c>
      <c r="W153" s="40">
        <v>3</v>
      </c>
      <c r="X153" s="40">
        <v>3</v>
      </c>
      <c r="Y153" s="40">
        <v>3</v>
      </c>
      <c r="Z153" s="40">
        <f t="shared" si="10"/>
        <v>2.7777777777777777</v>
      </c>
      <c r="AA153" s="41">
        <v>1</v>
      </c>
      <c r="AB153" s="41">
        <v>1</v>
      </c>
      <c r="AC153" s="41">
        <v>1</v>
      </c>
      <c r="AD153" s="41">
        <v>3</v>
      </c>
      <c r="AE153" s="41">
        <v>3</v>
      </c>
      <c r="AF153" s="41">
        <v>2</v>
      </c>
      <c r="AG153" s="41">
        <v>1</v>
      </c>
      <c r="AH153" s="41">
        <v>2</v>
      </c>
      <c r="AI153" s="41">
        <v>2</v>
      </c>
      <c r="AJ153" s="41">
        <f t="shared" si="11"/>
        <v>1.7777777777777777</v>
      </c>
      <c r="AK153" s="40"/>
      <c r="AL153" s="40"/>
      <c r="AM153" s="40"/>
      <c r="AN153" s="40"/>
      <c r="AO153" s="40"/>
      <c r="AP153" s="40"/>
      <c r="AQ153" s="40"/>
      <c r="AR153" s="40"/>
      <c r="AS153" s="40"/>
      <c r="AT153" s="40"/>
      <c r="AU153" s="40"/>
      <c r="AV153" s="40">
        <v>1</v>
      </c>
      <c r="AW153" s="42">
        <v>2</v>
      </c>
      <c r="AX153" s="42">
        <v>2</v>
      </c>
      <c r="AY153" s="42">
        <v>2</v>
      </c>
      <c r="AZ153" s="42"/>
      <c r="BA153" s="42">
        <f t="shared" si="12"/>
        <v>2</v>
      </c>
      <c r="BB153" s="43">
        <v>1</v>
      </c>
      <c r="BC153" s="43"/>
      <c r="BD153" s="44"/>
      <c r="BE153" s="44"/>
      <c r="BF153" s="45">
        <v>3</v>
      </c>
      <c r="BG153" s="45">
        <v>3</v>
      </c>
      <c r="BH153" s="45">
        <v>1</v>
      </c>
      <c r="BI153" s="45">
        <f t="shared" si="9"/>
        <v>2</v>
      </c>
    </row>
    <row r="154" spans="1:61" ht="16.5" customHeight="1">
      <c r="A154" s="48">
        <v>153</v>
      </c>
      <c r="B154" s="49" t="b">
        <v>0</v>
      </c>
      <c r="C154" s="37" t="s">
        <v>138</v>
      </c>
      <c r="D154" s="37" t="s">
        <v>98</v>
      </c>
      <c r="E154" s="38" t="s">
        <v>171</v>
      </c>
      <c r="F154" s="38" t="s">
        <v>63</v>
      </c>
      <c r="G154" s="38" t="s">
        <v>64</v>
      </c>
      <c r="H154" s="38"/>
      <c r="I154" s="39" t="s">
        <v>65</v>
      </c>
      <c r="J154" s="39" t="s">
        <v>87</v>
      </c>
      <c r="K154" s="39" t="s">
        <v>65</v>
      </c>
      <c r="L154" s="39">
        <v>3</v>
      </c>
      <c r="M154" s="39"/>
      <c r="N154" s="39"/>
      <c r="O154" s="39" t="s">
        <v>70</v>
      </c>
      <c r="P154" s="39"/>
      <c r="Q154" s="40">
        <v>3</v>
      </c>
      <c r="R154" s="40">
        <v>3</v>
      </c>
      <c r="S154" s="40">
        <v>3</v>
      </c>
      <c r="T154" s="40">
        <v>3</v>
      </c>
      <c r="U154" s="40">
        <v>3</v>
      </c>
      <c r="V154" s="40">
        <v>3</v>
      </c>
      <c r="W154" s="40">
        <v>1</v>
      </c>
      <c r="X154" s="40">
        <v>3</v>
      </c>
      <c r="Y154" s="40">
        <v>3</v>
      </c>
      <c r="Z154" s="40">
        <f t="shared" si="10"/>
        <v>2.7777777777777777</v>
      </c>
      <c r="AA154" s="41">
        <v>3</v>
      </c>
      <c r="AB154" s="41">
        <v>2</v>
      </c>
      <c r="AC154" s="41">
        <v>4</v>
      </c>
      <c r="AD154" s="41">
        <v>4</v>
      </c>
      <c r="AE154" s="41">
        <v>2</v>
      </c>
      <c r="AF154" s="41">
        <v>1</v>
      </c>
      <c r="AG154" s="41">
        <v>4</v>
      </c>
      <c r="AH154" s="41">
        <v>3</v>
      </c>
      <c r="AI154" s="41">
        <v>2</v>
      </c>
      <c r="AJ154" s="41">
        <f t="shared" si="11"/>
        <v>2.7777777777777777</v>
      </c>
      <c r="AK154" s="40"/>
      <c r="AL154" s="40"/>
      <c r="AM154" s="40"/>
      <c r="AN154" s="40"/>
      <c r="AO154" s="40"/>
      <c r="AP154" s="40"/>
      <c r="AQ154" s="40"/>
      <c r="AR154" s="40"/>
      <c r="AS154" s="40"/>
      <c r="AT154" s="40"/>
      <c r="AU154" s="40"/>
      <c r="AV154" s="40">
        <v>3</v>
      </c>
      <c r="AW154" s="42">
        <v>2</v>
      </c>
      <c r="AX154" s="42">
        <v>3</v>
      </c>
      <c r="AY154" s="42">
        <v>3</v>
      </c>
      <c r="AZ154" s="42"/>
      <c r="BA154" s="42">
        <f t="shared" si="12"/>
        <v>2.6666666666666665</v>
      </c>
      <c r="BB154" s="43">
        <v>2</v>
      </c>
      <c r="BC154" s="43"/>
      <c r="BD154" s="44">
        <v>3</v>
      </c>
      <c r="BE154" s="44"/>
      <c r="BF154" s="45">
        <v>3</v>
      </c>
      <c r="BG154" s="45">
        <v>3</v>
      </c>
      <c r="BH154" s="45">
        <v>3</v>
      </c>
      <c r="BI154" s="45">
        <f t="shared" si="9"/>
        <v>2.8</v>
      </c>
    </row>
    <row r="155" spans="1:61" ht="16.5" customHeight="1">
      <c r="A155" s="48">
        <v>154</v>
      </c>
      <c r="B155" s="49" t="b">
        <v>1</v>
      </c>
      <c r="C155" s="37" t="s">
        <v>172</v>
      </c>
      <c r="D155" s="37" t="s">
        <v>98</v>
      </c>
      <c r="E155" s="38" t="s">
        <v>75</v>
      </c>
      <c r="F155" s="38" t="s">
        <v>105</v>
      </c>
      <c r="G155" s="38" t="s">
        <v>64</v>
      </c>
      <c r="H155" s="38"/>
      <c r="I155" s="39" t="s">
        <v>65</v>
      </c>
      <c r="J155" s="39" t="s">
        <v>87</v>
      </c>
      <c r="K155" s="39" t="s">
        <v>65</v>
      </c>
      <c r="L155" s="39">
        <v>3</v>
      </c>
      <c r="M155" s="39"/>
      <c r="N155" s="39"/>
      <c r="O155" s="39" t="s">
        <v>70</v>
      </c>
      <c r="P155" s="39"/>
      <c r="Q155" s="40">
        <v>4</v>
      </c>
      <c r="R155" s="40">
        <v>4</v>
      </c>
      <c r="S155" s="40">
        <v>4</v>
      </c>
      <c r="T155" s="40">
        <v>3</v>
      </c>
      <c r="U155" s="40">
        <v>4</v>
      </c>
      <c r="V155" s="40">
        <v>4</v>
      </c>
      <c r="W155" s="40">
        <v>4</v>
      </c>
      <c r="X155" s="40">
        <v>3</v>
      </c>
      <c r="Y155" s="40">
        <v>4</v>
      </c>
      <c r="Z155" s="40">
        <f t="shared" si="10"/>
        <v>3.7777777777777777</v>
      </c>
      <c r="AA155" s="41">
        <v>4</v>
      </c>
      <c r="AB155" s="41">
        <v>1</v>
      </c>
      <c r="AC155" s="41">
        <v>3</v>
      </c>
      <c r="AD155" s="41">
        <v>3</v>
      </c>
      <c r="AE155" s="41">
        <v>3</v>
      </c>
      <c r="AF155" s="41">
        <v>4</v>
      </c>
      <c r="AG155" s="41">
        <v>4</v>
      </c>
      <c r="AH155" s="41">
        <v>4</v>
      </c>
      <c r="AI155" s="41">
        <v>3</v>
      </c>
      <c r="AJ155" s="41">
        <f t="shared" si="11"/>
        <v>3.2222222222222223</v>
      </c>
      <c r="AK155" s="40"/>
      <c r="AL155" s="40"/>
      <c r="AM155" s="40"/>
      <c r="AN155" s="40"/>
      <c r="AO155" s="40"/>
      <c r="AP155" s="40"/>
      <c r="AQ155" s="40"/>
      <c r="AR155" s="40"/>
      <c r="AS155" s="40"/>
      <c r="AT155" s="40"/>
      <c r="AU155" s="40"/>
      <c r="AV155" s="40">
        <v>4</v>
      </c>
      <c r="AW155" s="42">
        <v>3</v>
      </c>
      <c r="AX155" s="42">
        <v>3</v>
      </c>
      <c r="AY155" s="42">
        <v>3</v>
      </c>
      <c r="AZ155" s="42"/>
      <c r="BA155" s="42">
        <f t="shared" si="12"/>
        <v>3</v>
      </c>
      <c r="BB155" s="43">
        <v>1</v>
      </c>
      <c r="BC155" s="43">
        <v>3</v>
      </c>
      <c r="BD155" s="44">
        <v>4</v>
      </c>
      <c r="BE155" s="44"/>
      <c r="BF155" s="45"/>
      <c r="BG155" s="45">
        <v>1</v>
      </c>
      <c r="BH155" s="45">
        <v>3</v>
      </c>
      <c r="BI155" s="45">
        <f t="shared" si="9"/>
        <v>2.4</v>
      </c>
    </row>
    <row r="156" spans="1:61" ht="16.5" customHeight="1">
      <c r="A156" s="48">
        <v>155</v>
      </c>
      <c r="B156" s="49" t="b">
        <v>1</v>
      </c>
      <c r="C156" s="37" t="s">
        <v>114</v>
      </c>
      <c r="D156" s="37" t="s">
        <v>85</v>
      </c>
      <c r="E156" s="38" t="s">
        <v>82</v>
      </c>
      <c r="F156" s="38" t="s">
        <v>78</v>
      </c>
      <c r="G156" s="38" t="s">
        <v>78</v>
      </c>
      <c r="H156" s="38"/>
      <c r="I156" s="39" t="s">
        <v>65</v>
      </c>
      <c r="J156" s="39" t="s">
        <v>87</v>
      </c>
      <c r="K156" s="39" t="s">
        <v>65</v>
      </c>
      <c r="L156" s="39">
        <v>3</v>
      </c>
      <c r="M156" s="39"/>
      <c r="N156" s="39"/>
      <c r="O156" s="39" t="s">
        <v>70</v>
      </c>
      <c r="P156" s="39"/>
      <c r="Q156" s="40">
        <v>3</v>
      </c>
      <c r="R156" s="40">
        <v>3</v>
      </c>
      <c r="S156" s="40">
        <v>3</v>
      </c>
      <c r="T156" s="40">
        <v>3</v>
      </c>
      <c r="U156" s="40">
        <v>3</v>
      </c>
      <c r="V156" s="40">
        <v>3</v>
      </c>
      <c r="W156" s="40">
        <v>3</v>
      </c>
      <c r="X156" s="40">
        <v>3</v>
      </c>
      <c r="Y156" s="40">
        <v>3</v>
      </c>
      <c r="Z156" s="40">
        <f t="shared" si="10"/>
        <v>3</v>
      </c>
      <c r="AA156" s="41">
        <v>4</v>
      </c>
      <c r="AB156" s="41">
        <v>5</v>
      </c>
      <c r="AC156" s="41">
        <v>5</v>
      </c>
      <c r="AD156" s="41">
        <v>5</v>
      </c>
      <c r="AE156" s="41">
        <v>5</v>
      </c>
      <c r="AF156" s="41">
        <v>5</v>
      </c>
      <c r="AG156" s="41">
        <v>5</v>
      </c>
      <c r="AH156" s="41">
        <v>5</v>
      </c>
      <c r="AI156" s="41">
        <v>5</v>
      </c>
      <c r="AJ156" s="41">
        <f t="shared" si="11"/>
        <v>4.8888888888888893</v>
      </c>
      <c r="AK156" s="40"/>
      <c r="AL156" s="40"/>
      <c r="AM156" s="40"/>
      <c r="AN156" s="40"/>
      <c r="AO156" s="40"/>
      <c r="AP156" s="40"/>
      <c r="AQ156" s="40"/>
      <c r="AR156" s="40"/>
      <c r="AS156" s="40"/>
      <c r="AT156" s="40"/>
      <c r="AU156" s="40"/>
      <c r="AV156" s="40">
        <v>5</v>
      </c>
      <c r="AW156" s="42">
        <v>4</v>
      </c>
      <c r="AX156" s="42">
        <v>4</v>
      </c>
      <c r="AY156" s="42">
        <v>4</v>
      </c>
      <c r="AZ156" s="42"/>
      <c r="BA156" s="42">
        <f t="shared" si="12"/>
        <v>4</v>
      </c>
      <c r="BB156" s="43">
        <v>2</v>
      </c>
      <c r="BC156" s="43">
        <v>3</v>
      </c>
      <c r="BD156" s="44"/>
      <c r="BE156" s="44"/>
      <c r="BF156" s="45">
        <v>5</v>
      </c>
      <c r="BG156" s="45">
        <v>5</v>
      </c>
      <c r="BH156" s="45">
        <v>5</v>
      </c>
      <c r="BI156" s="45">
        <f t="shared" si="9"/>
        <v>4</v>
      </c>
    </row>
    <row r="157" spans="1:61" ht="16.5" customHeight="1">
      <c r="A157" s="48">
        <v>156</v>
      </c>
      <c r="B157" s="49" t="b">
        <v>0</v>
      </c>
      <c r="C157" s="37" t="s">
        <v>173</v>
      </c>
      <c r="D157" s="37" t="s">
        <v>174</v>
      </c>
      <c r="E157" s="38" t="s">
        <v>175</v>
      </c>
      <c r="F157" s="38" t="s">
        <v>78</v>
      </c>
      <c r="G157" s="38"/>
      <c r="H157" s="38"/>
      <c r="I157" s="46" t="s">
        <v>69</v>
      </c>
      <c r="J157" s="39" t="s">
        <v>65</v>
      </c>
      <c r="K157" s="39"/>
      <c r="L157" s="39" t="s">
        <v>92</v>
      </c>
      <c r="M157" s="39" t="s">
        <v>70</v>
      </c>
      <c r="N157" s="39"/>
      <c r="O157" s="39"/>
      <c r="P157" s="39"/>
      <c r="Q157" s="40">
        <v>4</v>
      </c>
      <c r="R157" s="40">
        <v>4</v>
      </c>
      <c r="S157" s="40">
        <v>4</v>
      </c>
      <c r="T157" s="40">
        <v>4</v>
      </c>
      <c r="U157" s="40">
        <v>4</v>
      </c>
      <c r="V157" s="40">
        <v>4</v>
      </c>
      <c r="W157" s="40">
        <v>4</v>
      </c>
      <c r="X157" s="40">
        <v>4</v>
      </c>
      <c r="Y157" s="40">
        <v>4</v>
      </c>
      <c r="Z157" s="40">
        <f t="shared" si="10"/>
        <v>4</v>
      </c>
      <c r="AA157" s="41">
        <v>5</v>
      </c>
      <c r="AB157" s="41">
        <v>4</v>
      </c>
      <c r="AC157" s="41">
        <v>5</v>
      </c>
      <c r="AD157" s="41">
        <v>5</v>
      </c>
      <c r="AE157" s="41">
        <v>5</v>
      </c>
      <c r="AF157" s="41">
        <v>5</v>
      </c>
      <c r="AG157" s="41">
        <v>5</v>
      </c>
      <c r="AH157" s="41">
        <v>5</v>
      </c>
      <c r="AI157" s="41">
        <v>4</v>
      </c>
      <c r="AJ157" s="41">
        <f t="shared" si="11"/>
        <v>4.7777777777777777</v>
      </c>
      <c r="AK157" s="40"/>
      <c r="AL157" s="40"/>
      <c r="AM157" s="40"/>
      <c r="AN157" s="40"/>
      <c r="AO157" s="40"/>
      <c r="AP157" s="40"/>
      <c r="AQ157" s="40"/>
      <c r="AR157" s="40"/>
      <c r="AS157" s="40"/>
      <c r="AT157" s="40"/>
      <c r="AU157" s="40"/>
      <c r="AV157" s="40"/>
      <c r="AW157" s="42">
        <v>3</v>
      </c>
      <c r="AX157" s="42">
        <v>4</v>
      </c>
      <c r="AY157" s="42"/>
      <c r="AZ157" s="42"/>
      <c r="BA157" s="42">
        <f t="shared" si="12"/>
        <v>3.5</v>
      </c>
      <c r="BB157" s="43">
        <v>5</v>
      </c>
      <c r="BC157" s="43"/>
      <c r="BD157" s="44"/>
      <c r="BE157" s="44">
        <v>3</v>
      </c>
      <c r="BF157" s="45">
        <v>5</v>
      </c>
      <c r="BG157" s="45">
        <v>4</v>
      </c>
      <c r="BH157" s="45"/>
      <c r="BI157" s="45">
        <f t="shared" si="9"/>
        <v>4.25</v>
      </c>
    </row>
    <row r="158" spans="1:61" ht="16.5" customHeight="1">
      <c r="A158" s="48">
        <v>157</v>
      </c>
      <c r="B158" s="49" t="b">
        <v>0</v>
      </c>
      <c r="C158" s="37" t="s">
        <v>95</v>
      </c>
      <c r="D158" s="37"/>
      <c r="E158" s="38" t="s">
        <v>111</v>
      </c>
      <c r="F158" s="38" t="s">
        <v>63</v>
      </c>
      <c r="G158" s="38" t="s">
        <v>64</v>
      </c>
      <c r="H158" s="38"/>
      <c r="I158" s="46" t="s">
        <v>69</v>
      </c>
      <c r="J158" s="39" t="s">
        <v>69</v>
      </c>
      <c r="K158" s="39"/>
      <c r="L158" s="39" t="s">
        <v>92</v>
      </c>
      <c r="M158" s="39" t="s">
        <v>70</v>
      </c>
      <c r="N158" s="39"/>
      <c r="O158" s="39"/>
      <c r="P158" s="39"/>
      <c r="Q158" s="40">
        <v>3</v>
      </c>
      <c r="R158" s="40">
        <v>3</v>
      </c>
      <c r="S158" s="40">
        <v>3</v>
      </c>
      <c r="T158" s="40">
        <v>3</v>
      </c>
      <c r="U158" s="40">
        <v>3</v>
      </c>
      <c r="V158" s="40">
        <v>3</v>
      </c>
      <c r="W158" s="40">
        <v>3</v>
      </c>
      <c r="X158" s="40">
        <v>3</v>
      </c>
      <c r="Y158" s="40">
        <v>3</v>
      </c>
      <c r="Z158" s="40">
        <f t="shared" si="10"/>
        <v>3</v>
      </c>
      <c r="AA158" s="41">
        <v>5</v>
      </c>
      <c r="AB158" s="41">
        <v>5</v>
      </c>
      <c r="AC158" s="41">
        <v>5</v>
      </c>
      <c r="AD158" s="41">
        <v>5</v>
      </c>
      <c r="AE158" s="41">
        <v>5</v>
      </c>
      <c r="AF158" s="41">
        <v>5</v>
      </c>
      <c r="AG158" s="41">
        <v>5</v>
      </c>
      <c r="AH158" s="41">
        <v>5</v>
      </c>
      <c r="AI158" s="41">
        <v>5</v>
      </c>
      <c r="AJ158" s="41">
        <f t="shared" si="11"/>
        <v>5</v>
      </c>
      <c r="AK158" s="40"/>
      <c r="AL158" s="40"/>
      <c r="AM158" s="40"/>
      <c r="AN158" s="40"/>
      <c r="AO158" s="40"/>
      <c r="AP158" s="40"/>
      <c r="AQ158" s="40"/>
      <c r="AR158" s="40"/>
      <c r="AS158" s="40"/>
      <c r="AT158" s="40"/>
      <c r="AU158" s="40"/>
      <c r="AV158" s="40"/>
      <c r="AW158" s="42">
        <v>4</v>
      </c>
      <c r="AX158" s="42">
        <v>4</v>
      </c>
      <c r="AY158" s="42">
        <v>4</v>
      </c>
      <c r="AZ158" s="42"/>
      <c r="BA158" s="42">
        <f t="shared" si="12"/>
        <v>4</v>
      </c>
      <c r="BB158" s="43"/>
      <c r="BC158" s="43"/>
      <c r="BD158" s="44"/>
      <c r="BE158" s="44">
        <v>3</v>
      </c>
      <c r="BF158" s="45"/>
      <c r="BG158" s="45">
        <v>5</v>
      </c>
      <c r="BH158" s="45">
        <v>5</v>
      </c>
      <c r="BI158" s="45">
        <f t="shared" si="9"/>
        <v>4.333333333333333</v>
      </c>
    </row>
    <row r="159" spans="1:61" ht="16.5" customHeight="1">
      <c r="A159" s="48">
        <v>158</v>
      </c>
      <c r="B159" s="49" t="b">
        <v>1</v>
      </c>
      <c r="C159" s="37" t="s">
        <v>114</v>
      </c>
      <c r="D159" s="37" t="s">
        <v>115</v>
      </c>
      <c r="E159" s="38" t="s">
        <v>86</v>
      </c>
      <c r="F159" s="38" t="s">
        <v>63</v>
      </c>
      <c r="G159" s="38"/>
      <c r="H159" s="38"/>
      <c r="I159" s="39" t="s">
        <v>65</v>
      </c>
      <c r="J159" s="39" t="s">
        <v>83</v>
      </c>
      <c r="K159" s="39" t="s">
        <v>65</v>
      </c>
      <c r="L159" s="39" t="s">
        <v>92</v>
      </c>
      <c r="M159" s="39" t="s">
        <v>70</v>
      </c>
      <c r="N159" s="39"/>
      <c r="O159" s="39"/>
      <c r="P159" s="39"/>
      <c r="Q159" s="40">
        <v>5</v>
      </c>
      <c r="R159" s="40">
        <v>5</v>
      </c>
      <c r="S159" s="40">
        <v>5</v>
      </c>
      <c r="T159" s="40">
        <v>5</v>
      </c>
      <c r="U159" s="40">
        <v>5</v>
      </c>
      <c r="V159" s="40">
        <v>5</v>
      </c>
      <c r="W159" s="40">
        <v>4</v>
      </c>
      <c r="X159" s="40">
        <v>5</v>
      </c>
      <c r="Y159" s="40">
        <v>4</v>
      </c>
      <c r="Z159" s="40">
        <f t="shared" si="10"/>
        <v>4.7777777777777777</v>
      </c>
      <c r="AA159" s="41">
        <v>5</v>
      </c>
      <c r="AB159" s="41">
        <v>5</v>
      </c>
      <c r="AC159" s="41">
        <v>5</v>
      </c>
      <c r="AD159" s="41">
        <v>5</v>
      </c>
      <c r="AE159" s="41">
        <v>5</v>
      </c>
      <c r="AF159" s="41">
        <v>5</v>
      </c>
      <c r="AG159" s="41">
        <v>5</v>
      </c>
      <c r="AH159" s="41">
        <v>5</v>
      </c>
      <c r="AI159" s="41">
        <v>5</v>
      </c>
      <c r="AJ159" s="41">
        <f t="shared" si="11"/>
        <v>5</v>
      </c>
      <c r="AK159" s="40"/>
      <c r="AL159" s="40"/>
      <c r="AM159" s="40"/>
      <c r="AN159" s="40"/>
      <c r="AO159" s="40"/>
      <c r="AP159" s="40"/>
      <c r="AQ159" s="40"/>
      <c r="AR159" s="40"/>
      <c r="AS159" s="40"/>
      <c r="AT159" s="40"/>
      <c r="AU159" s="40"/>
      <c r="AV159" s="40"/>
      <c r="AW159" s="42">
        <v>5</v>
      </c>
      <c r="AX159" s="42">
        <v>5</v>
      </c>
      <c r="AY159" s="42"/>
      <c r="AZ159" s="42"/>
      <c r="BA159" s="42">
        <f t="shared" si="12"/>
        <v>5</v>
      </c>
      <c r="BB159" s="43">
        <v>4</v>
      </c>
      <c r="BC159" s="43">
        <v>4</v>
      </c>
      <c r="BD159" s="44">
        <v>5</v>
      </c>
      <c r="BE159" s="44"/>
      <c r="BF159" s="45">
        <v>5</v>
      </c>
      <c r="BG159" s="45">
        <v>5</v>
      </c>
      <c r="BH159" s="45"/>
      <c r="BI159" s="45">
        <f t="shared" si="9"/>
        <v>4.5999999999999996</v>
      </c>
    </row>
    <row r="160" spans="1:61" ht="16.5" customHeight="1">
      <c r="A160" s="48">
        <v>159</v>
      </c>
      <c r="B160" s="49" t="b">
        <v>0</v>
      </c>
      <c r="C160" s="37" t="s">
        <v>176</v>
      </c>
      <c r="D160" s="37" t="s">
        <v>177</v>
      </c>
      <c r="E160" s="38" t="s">
        <v>72</v>
      </c>
      <c r="F160" s="38" t="s">
        <v>78</v>
      </c>
      <c r="G160" s="38" t="s">
        <v>64</v>
      </c>
      <c r="H160" s="38"/>
      <c r="I160" s="39" t="s">
        <v>65</v>
      </c>
      <c r="J160" s="39" t="s">
        <v>65</v>
      </c>
      <c r="K160" s="39"/>
      <c r="L160" s="39">
        <v>2.5</v>
      </c>
      <c r="M160" s="39"/>
      <c r="N160" s="39"/>
      <c r="O160" s="39" t="s">
        <v>70</v>
      </c>
      <c r="P160" s="39" t="s">
        <v>70</v>
      </c>
      <c r="Q160" s="40">
        <v>3</v>
      </c>
      <c r="R160" s="40">
        <v>3</v>
      </c>
      <c r="S160" s="40">
        <v>5</v>
      </c>
      <c r="T160" s="40">
        <v>5</v>
      </c>
      <c r="U160" s="40">
        <v>5</v>
      </c>
      <c r="V160" s="40">
        <v>5</v>
      </c>
      <c r="W160" s="40">
        <v>5</v>
      </c>
      <c r="X160" s="40">
        <v>5</v>
      </c>
      <c r="Y160" s="40">
        <v>5</v>
      </c>
      <c r="Z160" s="40">
        <f t="shared" si="10"/>
        <v>4.5555555555555554</v>
      </c>
      <c r="AA160" s="41">
        <v>1</v>
      </c>
      <c r="AB160" s="41">
        <v>1</v>
      </c>
      <c r="AC160" s="41">
        <v>2</v>
      </c>
      <c r="AD160" s="41">
        <v>3</v>
      </c>
      <c r="AE160" s="41">
        <v>3</v>
      </c>
      <c r="AF160" s="41">
        <v>3</v>
      </c>
      <c r="AG160" s="41">
        <v>3</v>
      </c>
      <c r="AH160" s="41">
        <v>3</v>
      </c>
      <c r="AI160" s="41">
        <v>3</v>
      </c>
      <c r="AJ160" s="41">
        <f t="shared" si="11"/>
        <v>2.4444444444444446</v>
      </c>
      <c r="AK160" s="40"/>
      <c r="AL160" s="40"/>
      <c r="AM160" s="40"/>
      <c r="AN160" s="40"/>
      <c r="AO160" s="40"/>
      <c r="AP160" s="40"/>
      <c r="AQ160" s="40"/>
      <c r="AR160" s="40"/>
      <c r="AS160" s="40"/>
      <c r="AT160" s="40"/>
      <c r="AU160" s="40"/>
      <c r="AV160" s="40">
        <v>3</v>
      </c>
      <c r="AW160" s="42">
        <v>4</v>
      </c>
      <c r="AX160" s="42">
        <v>4</v>
      </c>
      <c r="AY160" s="42">
        <v>4</v>
      </c>
      <c r="AZ160" s="42"/>
      <c r="BA160" s="42">
        <f t="shared" si="12"/>
        <v>4</v>
      </c>
      <c r="BB160" s="43">
        <v>5</v>
      </c>
      <c r="BC160" s="43"/>
      <c r="BD160" s="44"/>
      <c r="BE160" s="44"/>
      <c r="BF160" s="45">
        <v>5</v>
      </c>
      <c r="BG160" s="45">
        <v>5</v>
      </c>
      <c r="BH160" s="45">
        <v>5</v>
      </c>
      <c r="BI160" s="45">
        <f t="shared" si="9"/>
        <v>5</v>
      </c>
    </row>
    <row r="161" spans="1:61" ht="16.5" customHeight="1">
      <c r="A161" s="48">
        <v>160</v>
      </c>
      <c r="B161" s="49" t="b">
        <v>0</v>
      </c>
      <c r="C161" s="37" t="s">
        <v>80</v>
      </c>
      <c r="D161" s="37" t="s">
        <v>178</v>
      </c>
      <c r="E161" s="38" t="s">
        <v>73</v>
      </c>
      <c r="F161" s="38" t="s">
        <v>105</v>
      </c>
      <c r="G161" s="38" t="s">
        <v>78</v>
      </c>
      <c r="H161" s="38"/>
      <c r="I161" s="39" t="s">
        <v>65</v>
      </c>
      <c r="J161" s="39" t="s">
        <v>83</v>
      </c>
      <c r="K161" s="39"/>
      <c r="L161" s="39">
        <v>2.5</v>
      </c>
      <c r="M161" s="39"/>
      <c r="N161" s="39"/>
      <c r="O161" s="39" t="s">
        <v>70</v>
      </c>
      <c r="P161" s="39" t="s">
        <v>70</v>
      </c>
      <c r="Q161" s="40">
        <v>2</v>
      </c>
      <c r="R161" s="40">
        <v>2</v>
      </c>
      <c r="S161" s="40">
        <v>4</v>
      </c>
      <c r="T161" s="40">
        <v>4</v>
      </c>
      <c r="U161" s="40">
        <v>4</v>
      </c>
      <c r="V161" s="40">
        <v>4</v>
      </c>
      <c r="W161" s="40">
        <v>4</v>
      </c>
      <c r="X161" s="40">
        <v>4</v>
      </c>
      <c r="Y161" s="40">
        <v>4</v>
      </c>
      <c r="Z161" s="40">
        <f t="shared" si="10"/>
        <v>3.5555555555555554</v>
      </c>
      <c r="AA161" s="41">
        <v>1</v>
      </c>
      <c r="AB161" s="41">
        <v>1</v>
      </c>
      <c r="AC161" s="41">
        <v>4</v>
      </c>
      <c r="AD161" s="41">
        <v>4</v>
      </c>
      <c r="AE161" s="41">
        <v>3</v>
      </c>
      <c r="AF161" s="41">
        <v>4</v>
      </c>
      <c r="AG161" s="41">
        <v>3</v>
      </c>
      <c r="AH161" s="41">
        <v>1</v>
      </c>
      <c r="AI161" s="41">
        <v>3</v>
      </c>
      <c r="AJ161" s="41">
        <f t="shared" si="11"/>
        <v>2.6666666666666665</v>
      </c>
      <c r="AK161" s="40"/>
      <c r="AL161" s="40"/>
      <c r="AM161" s="40"/>
      <c r="AN161" s="40"/>
      <c r="AO161" s="40"/>
      <c r="AP161" s="40"/>
      <c r="AQ161" s="40"/>
      <c r="AR161" s="40"/>
      <c r="AS161" s="40"/>
      <c r="AT161" s="40"/>
      <c r="AU161" s="40"/>
      <c r="AV161" s="40">
        <v>4</v>
      </c>
      <c r="AW161" s="42">
        <v>4</v>
      </c>
      <c r="AX161" s="42">
        <v>5</v>
      </c>
      <c r="AY161" s="42">
        <v>5</v>
      </c>
      <c r="AZ161" s="42"/>
      <c r="BA161" s="42">
        <f t="shared" si="12"/>
        <v>4.666666666666667</v>
      </c>
      <c r="BB161" s="43">
        <v>5</v>
      </c>
      <c r="BC161" s="43"/>
      <c r="BD161" s="44"/>
      <c r="BE161" s="44"/>
      <c r="BF161" s="45">
        <v>4</v>
      </c>
      <c r="BG161" s="45"/>
      <c r="BH161" s="45">
        <v>4</v>
      </c>
      <c r="BI161" s="45">
        <f t="shared" si="9"/>
        <v>4.333333333333333</v>
      </c>
    </row>
    <row r="162" spans="1:61" ht="16.5" customHeight="1">
      <c r="A162" s="48">
        <v>161</v>
      </c>
      <c r="B162" s="49" t="b">
        <v>0</v>
      </c>
      <c r="C162" s="37" t="s">
        <v>179</v>
      </c>
      <c r="D162" s="37"/>
      <c r="E162" s="38" t="s">
        <v>180</v>
      </c>
      <c r="F162" s="38" t="s">
        <v>74</v>
      </c>
      <c r="G162" s="38" t="s">
        <v>64</v>
      </c>
      <c r="H162" s="38"/>
      <c r="I162" s="46" t="s">
        <v>69</v>
      </c>
      <c r="J162" s="39" t="s">
        <v>65</v>
      </c>
      <c r="K162" s="39"/>
      <c r="L162" s="46" t="s">
        <v>92</v>
      </c>
      <c r="M162" s="39" t="s">
        <v>70</v>
      </c>
      <c r="N162" s="39"/>
      <c r="O162" s="39"/>
      <c r="P162" s="39"/>
      <c r="Q162" s="40"/>
      <c r="R162" s="40">
        <v>4</v>
      </c>
      <c r="S162" s="40">
        <v>4</v>
      </c>
      <c r="T162" s="40">
        <v>4</v>
      </c>
      <c r="U162" s="40">
        <v>3</v>
      </c>
      <c r="V162" s="40">
        <v>4</v>
      </c>
      <c r="W162" s="40">
        <v>3</v>
      </c>
      <c r="X162" s="40">
        <v>3</v>
      </c>
      <c r="Y162" s="40">
        <v>3</v>
      </c>
      <c r="Z162" s="40">
        <f t="shared" si="10"/>
        <v>3.5</v>
      </c>
      <c r="AA162" s="41"/>
      <c r="AB162" s="41">
        <v>3</v>
      </c>
      <c r="AC162" s="41">
        <v>3</v>
      </c>
      <c r="AD162" s="41">
        <v>3</v>
      </c>
      <c r="AE162" s="41">
        <v>3</v>
      </c>
      <c r="AF162" s="41">
        <v>3</v>
      </c>
      <c r="AG162" s="41">
        <v>3</v>
      </c>
      <c r="AH162" s="41">
        <v>3</v>
      </c>
      <c r="AI162" s="41">
        <v>3</v>
      </c>
      <c r="AJ162" s="41">
        <f t="shared" si="11"/>
        <v>3</v>
      </c>
      <c r="AK162" s="40"/>
      <c r="AL162" s="40"/>
      <c r="AM162" s="40"/>
      <c r="AN162" s="40"/>
      <c r="AO162" s="40"/>
      <c r="AP162" s="40"/>
      <c r="AQ162" s="40"/>
      <c r="AR162" s="40"/>
      <c r="AS162" s="40"/>
      <c r="AT162" s="40"/>
      <c r="AU162" s="40"/>
      <c r="AV162" s="40"/>
      <c r="AW162" s="42">
        <v>2</v>
      </c>
      <c r="AX162" s="42">
        <v>2</v>
      </c>
      <c r="AY162" s="42"/>
      <c r="AZ162" s="42"/>
      <c r="BA162" s="42">
        <f t="shared" si="12"/>
        <v>2</v>
      </c>
      <c r="BB162" s="43">
        <v>4</v>
      </c>
      <c r="BC162" s="43"/>
      <c r="BD162" s="44"/>
      <c r="BE162" s="44"/>
      <c r="BF162" s="45">
        <v>4</v>
      </c>
      <c r="BG162" s="45">
        <v>2</v>
      </c>
      <c r="BH162" s="45"/>
      <c r="BI162" s="45">
        <f t="shared" si="9"/>
        <v>3.3333333333333335</v>
      </c>
    </row>
    <row r="163" spans="1:61" ht="16.5" customHeight="1">
      <c r="A163" s="48">
        <v>162</v>
      </c>
      <c r="B163" s="49" t="b">
        <v>0</v>
      </c>
      <c r="C163" s="37" t="s">
        <v>155</v>
      </c>
      <c r="D163" s="37" t="s">
        <v>181</v>
      </c>
      <c r="E163" s="38" t="s">
        <v>73</v>
      </c>
      <c r="F163" s="38"/>
      <c r="G163" s="38"/>
      <c r="H163" s="38"/>
      <c r="I163" s="39" t="s">
        <v>65</v>
      </c>
      <c r="J163" s="39" t="s">
        <v>83</v>
      </c>
      <c r="K163" s="39"/>
      <c r="L163" s="39">
        <v>2.5</v>
      </c>
      <c r="M163" s="39"/>
      <c r="N163" s="39"/>
      <c r="O163" s="39" t="s">
        <v>70</v>
      </c>
      <c r="P163" s="39"/>
      <c r="Q163" s="40">
        <v>4</v>
      </c>
      <c r="R163" s="40">
        <v>4</v>
      </c>
      <c r="S163" s="40">
        <v>4</v>
      </c>
      <c r="T163" s="40">
        <v>3</v>
      </c>
      <c r="U163" s="40">
        <v>3</v>
      </c>
      <c r="V163" s="40">
        <v>4</v>
      </c>
      <c r="W163" s="40">
        <v>3</v>
      </c>
      <c r="X163" s="40">
        <v>4</v>
      </c>
      <c r="Y163" s="40">
        <v>3</v>
      </c>
      <c r="Z163" s="40">
        <f t="shared" si="10"/>
        <v>3.5555555555555554</v>
      </c>
      <c r="AA163" s="41">
        <v>1</v>
      </c>
      <c r="AB163" s="41">
        <v>1</v>
      </c>
      <c r="AC163" s="41">
        <v>4</v>
      </c>
      <c r="AD163" s="41">
        <v>1</v>
      </c>
      <c r="AE163" s="41">
        <v>1</v>
      </c>
      <c r="AF163" s="41">
        <v>4</v>
      </c>
      <c r="AG163" s="41">
        <v>4</v>
      </c>
      <c r="AH163" s="41">
        <v>3</v>
      </c>
      <c r="AI163" s="41">
        <v>1</v>
      </c>
      <c r="AJ163" s="41">
        <f t="shared" si="11"/>
        <v>2.2222222222222223</v>
      </c>
      <c r="AK163" s="40"/>
      <c r="AL163" s="40"/>
      <c r="AM163" s="40"/>
      <c r="AN163" s="40"/>
      <c r="AO163" s="40"/>
      <c r="AP163" s="40"/>
      <c r="AQ163" s="40"/>
      <c r="AR163" s="40"/>
      <c r="AS163" s="40"/>
      <c r="AT163" s="40"/>
      <c r="AU163" s="40"/>
      <c r="AV163" s="40">
        <v>4</v>
      </c>
      <c r="AW163" s="42">
        <v>4</v>
      </c>
      <c r="AX163" s="42">
        <v>4</v>
      </c>
      <c r="AY163" s="42">
        <v>4</v>
      </c>
      <c r="AZ163" s="42"/>
      <c r="BA163" s="42">
        <f t="shared" si="12"/>
        <v>4</v>
      </c>
      <c r="BB163" s="43"/>
      <c r="BC163" s="43"/>
      <c r="BD163" s="44"/>
      <c r="BE163" s="44"/>
      <c r="BF163" s="45">
        <v>4</v>
      </c>
      <c r="BG163" s="45"/>
      <c r="BH163" s="45">
        <v>4</v>
      </c>
      <c r="BI163" s="45">
        <f t="shared" si="9"/>
        <v>4</v>
      </c>
    </row>
    <row r="164" spans="1:61" ht="16.5" customHeight="1">
      <c r="A164" s="48">
        <v>163</v>
      </c>
      <c r="B164" s="49" t="b">
        <v>1</v>
      </c>
      <c r="C164" s="37" t="s">
        <v>155</v>
      </c>
      <c r="D164" s="37" t="s">
        <v>98</v>
      </c>
      <c r="E164" s="38" t="s">
        <v>96</v>
      </c>
      <c r="F164" s="38"/>
      <c r="G164" s="38"/>
      <c r="H164" s="38"/>
      <c r="I164" s="39" t="s">
        <v>65</v>
      </c>
      <c r="J164" s="39" t="s">
        <v>87</v>
      </c>
      <c r="K164" s="39" t="s">
        <v>69</v>
      </c>
      <c r="L164" s="39">
        <v>3</v>
      </c>
      <c r="M164" s="39"/>
      <c r="N164" s="39"/>
      <c r="O164" s="39" t="s">
        <v>70</v>
      </c>
      <c r="P164" s="39" t="s">
        <v>70</v>
      </c>
      <c r="Q164" s="40">
        <v>3</v>
      </c>
      <c r="R164" s="40">
        <v>4</v>
      </c>
      <c r="S164" s="40">
        <v>4</v>
      </c>
      <c r="T164" s="40">
        <v>3</v>
      </c>
      <c r="U164" s="40">
        <v>3</v>
      </c>
      <c r="V164" s="40">
        <v>4</v>
      </c>
      <c r="W164" s="40">
        <v>2</v>
      </c>
      <c r="X164" s="40">
        <v>3</v>
      </c>
      <c r="Y164" s="40">
        <v>3</v>
      </c>
      <c r="Z164" s="40">
        <f t="shared" si="10"/>
        <v>3.2222222222222223</v>
      </c>
      <c r="AA164" s="41">
        <v>3</v>
      </c>
      <c r="AB164" s="41">
        <v>3</v>
      </c>
      <c r="AC164" s="41">
        <v>4</v>
      </c>
      <c r="AD164" s="41">
        <v>3</v>
      </c>
      <c r="AE164" s="41">
        <v>4</v>
      </c>
      <c r="AF164" s="41">
        <v>4</v>
      </c>
      <c r="AG164" s="41">
        <v>4</v>
      </c>
      <c r="AH164" s="41">
        <v>3</v>
      </c>
      <c r="AI164" s="41">
        <v>4</v>
      </c>
      <c r="AJ164" s="41">
        <f t="shared" si="11"/>
        <v>3.5555555555555554</v>
      </c>
      <c r="AK164" s="40"/>
      <c r="AL164" s="40"/>
      <c r="AM164" s="40"/>
      <c r="AN164" s="40"/>
      <c r="AO164" s="40"/>
      <c r="AP164" s="40"/>
      <c r="AQ164" s="40"/>
      <c r="AR164" s="40"/>
      <c r="AS164" s="40"/>
      <c r="AT164" s="40"/>
      <c r="AU164" s="40"/>
      <c r="AV164" s="40">
        <v>4</v>
      </c>
      <c r="AW164" s="42">
        <v>1</v>
      </c>
      <c r="AX164" s="42">
        <v>4</v>
      </c>
      <c r="AY164" s="42">
        <v>4</v>
      </c>
      <c r="AZ164" s="42"/>
      <c r="BA164" s="42">
        <f t="shared" si="12"/>
        <v>3</v>
      </c>
      <c r="BB164" s="43">
        <v>4</v>
      </c>
      <c r="BC164" s="43">
        <v>3</v>
      </c>
      <c r="BD164" s="44">
        <v>3</v>
      </c>
      <c r="BE164" s="44">
        <v>3</v>
      </c>
      <c r="BF164" s="45">
        <v>3</v>
      </c>
      <c r="BG164" s="45">
        <v>3</v>
      </c>
      <c r="BH164" s="45">
        <v>3</v>
      </c>
      <c r="BI164" s="45">
        <f t="shared" si="9"/>
        <v>3.1428571428571428</v>
      </c>
    </row>
    <row r="165" spans="1:61" ht="16.5" customHeight="1">
      <c r="A165" s="48">
        <v>164</v>
      </c>
      <c r="B165" s="49" t="b">
        <v>1</v>
      </c>
      <c r="C165" s="37" t="s">
        <v>155</v>
      </c>
      <c r="D165" s="37" t="s">
        <v>181</v>
      </c>
      <c r="E165" s="38" t="s">
        <v>82</v>
      </c>
      <c r="F165" s="38" t="s">
        <v>78</v>
      </c>
      <c r="G165" s="38" t="s">
        <v>78</v>
      </c>
      <c r="H165" s="38"/>
      <c r="I165" s="39" t="s">
        <v>65</v>
      </c>
      <c r="J165" s="39" t="s">
        <v>83</v>
      </c>
      <c r="K165" s="39"/>
      <c r="L165" s="39">
        <v>2.5</v>
      </c>
      <c r="M165" s="39"/>
      <c r="N165" s="39"/>
      <c r="O165" s="39" t="s">
        <v>70</v>
      </c>
      <c r="P165" s="39"/>
      <c r="Q165" s="40">
        <v>3</v>
      </c>
      <c r="R165" s="40">
        <v>4</v>
      </c>
      <c r="S165" s="40">
        <v>3</v>
      </c>
      <c r="T165" s="40">
        <v>4</v>
      </c>
      <c r="U165" s="40">
        <v>3</v>
      </c>
      <c r="V165" s="40">
        <v>3</v>
      </c>
      <c r="W165" s="40">
        <v>3</v>
      </c>
      <c r="X165" s="40">
        <v>3</v>
      </c>
      <c r="Y165" s="40">
        <v>3</v>
      </c>
      <c r="Z165" s="40">
        <f t="shared" si="10"/>
        <v>3.2222222222222223</v>
      </c>
      <c r="AA165" s="41">
        <v>3</v>
      </c>
      <c r="AB165" s="41">
        <v>3</v>
      </c>
      <c r="AC165" s="41">
        <v>3</v>
      </c>
      <c r="AD165" s="41">
        <v>3</v>
      </c>
      <c r="AE165" s="41">
        <v>3</v>
      </c>
      <c r="AF165" s="41">
        <v>3</v>
      </c>
      <c r="AG165" s="41">
        <v>3</v>
      </c>
      <c r="AH165" s="41">
        <v>3</v>
      </c>
      <c r="AI165" s="41">
        <v>3</v>
      </c>
      <c r="AJ165" s="41">
        <f t="shared" si="11"/>
        <v>3</v>
      </c>
      <c r="AK165" s="40"/>
      <c r="AL165" s="40"/>
      <c r="AM165" s="40"/>
      <c r="AN165" s="40"/>
      <c r="AO165" s="40"/>
      <c r="AP165" s="40"/>
      <c r="AQ165" s="40"/>
      <c r="AR165" s="40"/>
      <c r="AS165" s="40"/>
      <c r="AT165" s="40"/>
      <c r="AU165" s="40"/>
      <c r="AV165" s="40">
        <v>3</v>
      </c>
      <c r="AW165" s="42">
        <v>1</v>
      </c>
      <c r="AX165" s="42">
        <v>4</v>
      </c>
      <c r="AY165" s="42">
        <v>4</v>
      </c>
      <c r="AZ165" s="42"/>
      <c r="BA165" s="42">
        <f t="shared" si="12"/>
        <v>3</v>
      </c>
      <c r="BB165" s="43">
        <v>3</v>
      </c>
      <c r="BC165" s="43"/>
      <c r="BD165" s="44"/>
      <c r="BE165" s="44"/>
      <c r="BF165" s="45">
        <v>5</v>
      </c>
      <c r="BG165" s="45"/>
      <c r="BH165" s="45">
        <v>5</v>
      </c>
      <c r="BI165" s="45">
        <f t="shared" si="9"/>
        <v>4.333333333333333</v>
      </c>
    </row>
    <row r="166" spans="1:61" ht="16.5" customHeight="1">
      <c r="A166" s="48">
        <v>165</v>
      </c>
      <c r="B166" s="49" t="b">
        <v>1</v>
      </c>
      <c r="C166" s="37" t="s">
        <v>155</v>
      </c>
      <c r="D166" s="37" t="s">
        <v>181</v>
      </c>
      <c r="E166" s="38" t="s">
        <v>96</v>
      </c>
      <c r="F166" s="38" t="s">
        <v>68</v>
      </c>
      <c r="G166" s="38" t="s">
        <v>64</v>
      </c>
      <c r="H166" s="38"/>
      <c r="I166" s="39" t="s">
        <v>65</v>
      </c>
      <c r="J166" s="39" t="s">
        <v>83</v>
      </c>
      <c r="K166" s="39"/>
      <c r="L166" s="39">
        <v>2.5</v>
      </c>
      <c r="M166" s="39"/>
      <c r="N166" s="39"/>
      <c r="O166" s="39" t="s">
        <v>70</v>
      </c>
      <c r="P166" s="39"/>
      <c r="Q166" s="40">
        <v>5</v>
      </c>
      <c r="R166" s="40">
        <v>5</v>
      </c>
      <c r="S166" s="40">
        <v>5</v>
      </c>
      <c r="T166" s="40">
        <v>5</v>
      </c>
      <c r="U166" s="40">
        <v>5</v>
      </c>
      <c r="V166" s="40">
        <v>5</v>
      </c>
      <c r="W166" s="40">
        <v>4</v>
      </c>
      <c r="X166" s="40">
        <v>4</v>
      </c>
      <c r="Y166" s="40">
        <v>4</v>
      </c>
      <c r="Z166" s="40">
        <f t="shared" si="10"/>
        <v>4.666666666666667</v>
      </c>
      <c r="AA166" s="41">
        <v>5</v>
      </c>
      <c r="AB166" s="41">
        <v>5</v>
      </c>
      <c r="AC166" s="41">
        <v>5</v>
      </c>
      <c r="AD166" s="41">
        <v>5</v>
      </c>
      <c r="AE166" s="41">
        <v>5</v>
      </c>
      <c r="AF166" s="41">
        <v>5</v>
      </c>
      <c r="AG166" s="41">
        <v>5</v>
      </c>
      <c r="AH166" s="41">
        <v>5</v>
      </c>
      <c r="AI166" s="41">
        <v>5</v>
      </c>
      <c r="AJ166" s="41">
        <f t="shared" si="11"/>
        <v>5</v>
      </c>
      <c r="AK166" s="40"/>
      <c r="AL166" s="40"/>
      <c r="AM166" s="40"/>
      <c r="AN166" s="40"/>
      <c r="AO166" s="40"/>
      <c r="AP166" s="40"/>
      <c r="AQ166" s="40"/>
      <c r="AR166" s="40"/>
      <c r="AS166" s="40"/>
      <c r="AT166" s="40"/>
      <c r="AU166" s="40"/>
      <c r="AV166" s="40">
        <v>5</v>
      </c>
      <c r="AW166" s="42">
        <v>4</v>
      </c>
      <c r="AX166" s="42">
        <v>5</v>
      </c>
      <c r="AY166" s="42">
        <v>5</v>
      </c>
      <c r="AZ166" s="42"/>
      <c r="BA166" s="42">
        <f t="shared" si="12"/>
        <v>4.666666666666667</v>
      </c>
      <c r="BB166" s="43">
        <v>5</v>
      </c>
      <c r="BC166" s="43"/>
      <c r="BD166" s="44"/>
      <c r="BE166" s="44"/>
      <c r="BF166" s="45">
        <v>5</v>
      </c>
      <c r="BG166" s="45"/>
      <c r="BH166" s="45">
        <v>5</v>
      </c>
      <c r="BI166" s="45">
        <f t="shared" si="9"/>
        <v>5</v>
      </c>
    </row>
    <row r="167" spans="1:61" ht="16.5" customHeight="1">
      <c r="A167" s="48">
        <v>166</v>
      </c>
      <c r="B167" s="49" t="b">
        <v>1</v>
      </c>
      <c r="C167" s="37"/>
      <c r="D167" s="37" t="s">
        <v>181</v>
      </c>
      <c r="E167" s="38" t="s">
        <v>96</v>
      </c>
      <c r="F167" s="38"/>
      <c r="G167" s="38"/>
      <c r="H167" s="38"/>
      <c r="I167" s="39" t="s">
        <v>65</v>
      </c>
      <c r="J167" s="39" t="s">
        <v>83</v>
      </c>
      <c r="K167" s="39"/>
      <c r="L167" s="39">
        <v>2.5</v>
      </c>
      <c r="M167" s="39"/>
      <c r="N167" s="39"/>
      <c r="O167" s="39" t="s">
        <v>70</v>
      </c>
      <c r="P167" s="39"/>
      <c r="Q167" s="40">
        <v>4</v>
      </c>
      <c r="R167" s="40">
        <v>4</v>
      </c>
      <c r="S167" s="40">
        <v>4</v>
      </c>
      <c r="T167" s="40">
        <v>4</v>
      </c>
      <c r="U167" s="40">
        <v>4</v>
      </c>
      <c r="V167" s="40">
        <v>4</v>
      </c>
      <c r="W167" s="40">
        <v>3</v>
      </c>
      <c r="X167" s="40">
        <v>3</v>
      </c>
      <c r="Y167" s="40"/>
      <c r="Z167" s="40">
        <f t="shared" si="10"/>
        <v>3.75</v>
      </c>
      <c r="AA167" s="41">
        <v>3</v>
      </c>
      <c r="AB167" s="41">
        <v>3</v>
      </c>
      <c r="AC167" s="41">
        <v>4</v>
      </c>
      <c r="AD167" s="41">
        <v>4</v>
      </c>
      <c r="AE167" s="41">
        <v>3</v>
      </c>
      <c r="AF167" s="41">
        <v>3</v>
      </c>
      <c r="AG167" s="41">
        <v>3</v>
      </c>
      <c r="AH167" s="41">
        <v>3</v>
      </c>
      <c r="AI167" s="41">
        <v>3</v>
      </c>
      <c r="AJ167" s="41">
        <f t="shared" si="11"/>
        <v>3.2222222222222223</v>
      </c>
      <c r="AK167" s="40"/>
      <c r="AL167" s="40"/>
      <c r="AM167" s="40"/>
      <c r="AN167" s="40"/>
      <c r="AO167" s="40"/>
      <c r="AP167" s="40"/>
      <c r="AQ167" s="40"/>
      <c r="AR167" s="40"/>
      <c r="AS167" s="40"/>
      <c r="AT167" s="40"/>
      <c r="AU167" s="40"/>
      <c r="AV167" s="40">
        <v>3</v>
      </c>
      <c r="AW167" s="42">
        <v>1</v>
      </c>
      <c r="AX167" s="42">
        <v>4</v>
      </c>
      <c r="AY167" s="42">
        <v>4</v>
      </c>
      <c r="AZ167" s="42"/>
      <c r="BA167" s="42">
        <f t="shared" si="12"/>
        <v>3</v>
      </c>
      <c r="BB167" s="43">
        <v>4</v>
      </c>
      <c r="BC167" s="43"/>
      <c r="BD167" s="44"/>
      <c r="BE167" s="44"/>
      <c r="BF167" s="45">
        <v>5</v>
      </c>
      <c r="BG167" s="45"/>
      <c r="BH167" s="45">
        <v>5</v>
      </c>
      <c r="BI167" s="45">
        <f t="shared" si="9"/>
        <v>4.666666666666667</v>
      </c>
    </row>
    <row r="168" spans="1:61" ht="16.5" customHeight="1">
      <c r="A168" s="48">
        <v>167</v>
      </c>
      <c r="B168" s="49" t="b">
        <v>0</v>
      </c>
      <c r="C168" s="37" t="s">
        <v>155</v>
      </c>
      <c r="D168" s="37" t="s">
        <v>181</v>
      </c>
      <c r="E168" s="38" t="s">
        <v>62</v>
      </c>
      <c r="F168" s="38" t="s">
        <v>78</v>
      </c>
      <c r="G168" s="38" t="s">
        <v>64</v>
      </c>
      <c r="H168" s="38"/>
      <c r="I168" s="39" t="s">
        <v>65</v>
      </c>
      <c r="J168" s="39" t="s">
        <v>83</v>
      </c>
      <c r="K168" s="39"/>
      <c r="L168" s="39">
        <v>2.5</v>
      </c>
      <c r="M168" s="39"/>
      <c r="N168" s="39"/>
      <c r="O168" s="39" t="s">
        <v>70</v>
      </c>
      <c r="P168" s="39"/>
      <c r="Q168" s="40">
        <v>4</v>
      </c>
      <c r="R168" s="40">
        <v>4</v>
      </c>
      <c r="S168" s="40">
        <v>4</v>
      </c>
      <c r="T168" s="40">
        <v>4</v>
      </c>
      <c r="U168" s="40">
        <v>4</v>
      </c>
      <c r="V168" s="40">
        <v>4</v>
      </c>
      <c r="W168" s="40">
        <v>4</v>
      </c>
      <c r="X168" s="40">
        <v>3</v>
      </c>
      <c r="Y168" s="40">
        <v>4</v>
      </c>
      <c r="Z168" s="40">
        <f t="shared" si="10"/>
        <v>3.8888888888888888</v>
      </c>
      <c r="AA168" s="41">
        <v>1</v>
      </c>
      <c r="AB168" s="41">
        <v>1</v>
      </c>
      <c r="AC168" s="41">
        <v>1</v>
      </c>
      <c r="AD168" s="41">
        <v>4</v>
      </c>
      <c r="AE168" s="41">
        <v>4</v>
      </c>
      <c r="AF168" s="41">
        <v>4</v>
      </c>
      <c r="AG168" s="41">
        <v>4</v>
      </c>
      <c r="AH168" s="41">
        <v>3</v>
      </c>
      <c r="AI168" s="41">
        <v>1</v>
      </c>
      <c r="AJ168" s="41">
        <f t="shared" si="11"/>
        <v>2.5555555555555554</v>
      </c>
      <c r="AK168" s="40"/>
      <c r="AL168" s="40"/>
      <c r="AM168" s="40"/>
      <c r="AN168" s="40"/>
      <c r="AO168" s="40"/>
      <c r="AP168" s="40"/>
      <c r="AQ168" s="40"/>
      <c r="AR168" s="40"/>
      <c r="AS168" s="40"/>
      <c r="AT168" s="40"/>
      <c r="AU168" s="40"/>
      <c r="AV168" s="40">
        <v>4</v>
      </c>
      <c r="AW168" s="42">
        <v>4</v>
      </c>
      <c r="AX168" s="42">
        <v>4</v>
      </c>
      <c r="AY168" s="42">
        <v>4</v>
      </c>
      <c r="AZ168" s="42"/>
      <c r="BA168" s="42">
        <f t="shared" si="12"/>
        <v>4</v>
      </c>
      <c r="BB168" s="43">
        <v>4</v>
      </c>
      <c r="BC168" s="43"/>
      <c r="BD168" s="44"/>
      <c r="BE168" s="44"/>
      <c r="BF168" s="45">
        <v>5</v>
      </c>
      <c r="BG168" s="45"/>
      <c r="BH168" s="45">
        <v>5</v>
      </c>
      <c r="BI168" s="45">
        <f t="shared" si="9"/>
        <v>4.666666666666667</v>
      </c>
    </row>
    <row r="169" spans="1:61" ht="16.5" customHeight="1">
      <c r="A169" s="48">
        <v>168</v>
      </c>
      <c r="B169" s="49" t="b">
        <v>1</v>
      </c>
      <c r="C169" s="37" t="s">
        <v>155</v>
      </c>
      <c r="D169" s="37" t="s">
        <v>182</v>
      </c>
      <c r="E169" s="38" t="s">
        <v>97</v>
      </c>
      <c r="F169" s="38" t="s">
        <v>74</v>
      </c>
      <c r="G169" s="38" t="s">
        <v>78</v>
      </c>
      <c r="H169" s="38"/>
      <c r="I169" s="39" t="s">
        <v>65</v>
      </c>
      <c r="J169" s="39" t="s">
        <v>83</v>
      </c>
      <c r="K169" s="39"/>
      <c r="L169" s="39">
        <v>2.5</v>
      </c>
      <c r="M169" s="39"/>
      <c r="N169" s="39"/>
      <c r="O169" s="39" t="s">
        <v>70</v>
      </c>
      <c r="P169" s="39"/>
      <c r="Q169" s="40">
        <v>4</v>
      </c>
      <c r="R169" s="40">
        <v>4</v>
      </c>
      <c r="S169" s="40">
        <v>4</v>
      </c>
      <c r="T169" s="40">
        <v>4</v>
      </c>
      <c r="U169" s="40">
        <v>4</v>
      </c>
      <c r="V169" s="40">
        <v>4</v>
      </c>
      <c r="W169" s="40">
        <v>4</v>
      </c>
      <c r="X169" s="40">
        <v>4</v>
      </c>
      <c r="Y169" s="40">
        <v>4</v>
      </c>
      <c r="Z169" s="40">
        <f t="shared" si="10"/>
        <v>4</v>
      </c>
      <c r="AA169" s="41">
        <v>5</v>
      </c>
      <c r="AB169" s="41">
        <v>5</v>
      </c>
      <c r="AC169" s="41">
        <v>5</v>
      </c>
      <c r="AD169" s="41">
        <v>5</v>
      </c>
      <c r="AE169" s="41">
        <v>5</v>
      </c>
      <c r="AF169" s="41">
        <v>5</v>
      </c>
      <c r="AG169" s="41">
        <v>5</v>
      </c>
      <c r="AH169" s="41">
        <v>5</v>
      </c>
      <c r="AI169" s="41">
        <v>5</v>
      </c>
      <c r="AJ169" s="41">
        <f t="shared" si="11"/>
        <v>5</v>
      </c>
      <c r="AK169" s="40"/>
      <c r="AL169" s="40"/>
      <c r="AM169" s="40"/>
      <c r="AN169" s="40"/>
      <c r="AO169" s="40"/>
      <c r="AP169" s="40"/>
      <c r="AQ169" s="40"/>
      <c r="AR169" s="40"/>
      <c r="AS169" s="40"/>
      <c r="AT169" s="40"/>
      <c r="AU169" s="40"/>
      <c r="AV169" s="40">
        <v>5</v>
      </c>
      <c r="AW169" s="42">
        <v>3</v>
      </c>
      <c r="AX169" s="42">
        <v>5</v>
      </c>
      <c r="AY169" s="42"/>
      <c r="AZ169" s="42"/>
      <c r="BA169" s="42">
        <f t="shared" si="12"/>
        <v>4</v>
      </c>
      <c r="BB169" s="43">
        <v>5</v>
      </c>
      <c r="BC169" s="43"/>
      <c r="BD169" s="44"/>
      <c r="BE169" s="44"/>
      <c r="BF169" s="45">
        <v>5</v>
      </c>
      <c r="BG169" s="45">
        <v>5</v>
      </c>
      <c r="BH169" s="45">
        <v>5</v>
      </c>
      <c r="BI169" s="45">
        <f t="shared" si="9"/>
        <v>5</v>
      </c>
    </row>
    <row r="170" spans="1:61" ht="16.5" customHeight="1">
      <c r="A170" s="48">
        <v>169</v>
      </c>
      <c r="B170" s="49" t="b">
        <v>0</v>
      </c>
      <c r="C170" s="37" t="s">
        <v>95</v>
      </c>
      <c r="D170" s="37"/>
      <c r="E170" s="38" t="s">
        <v>183</v>
      </c>
      <c r="F170" s="38" t="s">
        <v>63</v>
      </c>
      <c r="G170" s="38" t="s">
        <v>78</v>
      </c>
      <c r="H170" s="38">
        <v>2020</v>
      </c>
      <c r="I170" s="39" t="s">
        <v>65</v>
      </c>
      <c r="J170" s="39" t="s">
        <v>65</v>
      </c>
      <c r="K170" s="39" t="s">
        <v>65</v>
      </c>
      <c r="L170" s="39">
        <v>3</v>
      </c>
      <c r="M170" s="39"/>
      <c r="N170" s="39"/>
      <c r="O170" s="39" t="s">
        <v>70</v>
      </c>
      <c r="P170" s="39"/>
      <c r="Q170" s="40">
        <v>4</v>
      </c>
      <c r="R170" s="40">
        <v>4</v>
      </c>
      <c r="S170" s="40">
        <v>4</v>
      </c>
      <c r="T170" s="40">
        <v>4</v>
      </c>
      <c r="U170" s="40">
        <v>4</v>
      </c>
      <c r="V170" s="40">
        <v>4</v>
      </c>
      <c r="W170" s="40">
        <v>4</v>
      </c>
      <c r="X170" s="40">
        <v>4</v>
      </c>
      <c r="Y170" s="40">
        <v>4</v>
      </c>
      <c r="Z170" s="40">
        <f t="shared" si="10"/>
        <v>4</v>
      </c>
      <c r="AA170" s="41">
        <v>2</v>
      </c>
      <c r="AB170" s="41">
        <v>3</v>
      </c>
      <c r="AC170" s="41">
        <v>4</v>
      </c>
      <c r="AD170" s="41">
        <v>4</v>
      </c>
      <c r="AE170" s="41">
        <v>4</v>
      </c>
      <c r="AF170" s="41">
        <v>2</v>
      </c>
      <c r="AG170" s="41">
        <v>3</v>
      </c>
      <c r="AH170" s="41">
        <v>3</v>
      </c>
      <c r="AI170" s="41">
        <v>3</v>
      </c>
      <c r="AJ170" s="41">
        <f t="shared" si="11"/>
        <v>3.1111111111111112</v>
      </c>
      <c r="AK170" s="40"/>
      <c r="AL170" s="40"/>
      <c r="AM170" s="40"/>
      <c r="AN170" s="40"/>
      <c r="AO170" s="40"/>
      <c r="AP170" s="40"/>
      <c r="AQ170" s="40"/>
      <c r="AR170" s="40"/>
      <c r="AS170" s="40"/>
      <c r="AT170" s="40"/>
      <c r="AU170" s="40"/>
      <c r="AV170" s="40">
        <v>3</v>
      </c>
      <c r="AW170" s="42">
        <v>4</v>
      </c>
      <c r="AX170" s="42">
        <v>4</v>
      </c>
      <c r="AY170" s="42">
        <v>4</v>
      </c>
      <c r="AZ170" s="42"/>
      <c r="BA170" s="42">
        <f t="shared" si="12"/>
        <v>4</v>
      </c>
      <c r="BB170" s="43">
        <v>4</v>
      </c>
      <c r="BC170" s="43"/>
      <c r="BD170" s="44"/>
      <c r="BE170" s="44"/>
      <c r="BF170" s="45">
        <v>4</v>
      </c>
      <c r="BG170" s="45">
        <v>4</v>
      </c>
      <c r="BH170" s="45">
        <v>4</v>
      </c>
      <c r="BI170" s="45">
        <f t="shared" si="9"/>
        <v>4</v>
      </c>
    </row>
    <row r="171" spans="1:61" ht="16.5" customHeight="1">
      <c r="A171" s="48">
        <v>170</v>
      </c>
      <c r="B171" s="49" t="b">
        <v>0</v>
      </c>
      <c r="C171" s="37" t="s">
        <v>155</v>
      </c>
      <c r="D171" s="37" t="s">
        <v>98</v>
      </c>
      <c r="E171" s="38" t="s">
        <v>128</v>
      </c>
      <c r="F171" s="38" t="s">
        <v>78</v>
      </c>
      <c r="G171" s="38" t="s">
        <v>78</v>
      </c>
      <c r="H171" s="38"/>
      <c r="I171" s="39" t="s">
        <v>65</v>
      </c>
      <c r="J171" s="39" t="s">
        <v>87</v>
      </c>
      <c r="K171" s="39"/>
      <c r="L171" s="39">
        <v>2.5</v>
      </c>
      <c r="M171" s="39"/>
      <c r="N171" s="39"/>
      <c r="O171" s="39" t="s">
        <v>70</v>
      </c>
      <c r="P171" s="39"/>
      <c r="Q171" s="40">
        <v>4</v>
      </c>
      <c r="R171" s="40">
        <v>4</v>
      </c>
      <c r="S171" s="40">
        <v>4</v>
      </c>
      <c r="T171" s="40">
        <v>4</v>
      </c>
      <c r="U171" s="40">
        <v>3</v>
      </c>
      <c r="V171" s="40">
        <v>4</v>
      </c>
      <c r="W171" s="40">
        <v>3</v>
      </c>
      <c r="X171" s="40">
        <v>3</v>
      </c>
      <c r="Y171" s="40">
        <v>3</v>
      </c>
      <c r="Z171" s="40">
        <f t="shared" si="10"/>
        <v>3.5555555555555554</v>
      </c>
      <c r="AA171" s="41">
        <v>3</v>
      </c>
      <c r="AB171" s="41">
        <v>4</v>
      </c>
      <c r="AC171" s="41">
        <v>4</v>
      </c>
      <c r="AD171" s="41">
        <v>4</v>
      </c>
      <c r="AE171" s="41">
        <v>3</v>
      </c>
      <c r="AF171" s="41">
        <v>4</v>
      </c>
      <c r="AG171" s="41">
        <v>4</v>
      </c>
      <c r="AH171" s="41">
        <v>4</v>
      </c>
      <c r="AI171" s="41">
        <v>3</v>
      </c>
      <c r="AJ171" s="41">
        <f t="shared" si="11"/>
        <v>3.6666666666666665</v>
      </c>
      <c r="AK171" s="40"/>
      <c r="AL171" s="40"/>
      <c r="AM171" s="40"/>
      <c r="AN171" s="40"/>
      <c r="AO171" s="40"/>
      <c r="AP171" s="40"/>
      <c r="AQ171" s="40"/>
      <c r="AR171" s="40"/>
      <c r="AS171" s="40"/>
      <c r="AT171" s="40"/>
      <c r="AU171" s="40"/>
      <c r="AV171" s="40">
        <v>3</v>
      </c>
      <c r="AW171" s="42">
        <v>1</v>
      </c>
      <c r="AX171" s="42">
        <v>4</v>
      </c>
      <c r="AY171" s="42">
        <v>4</v>
      </c>
      <c r="AZ171" s="42"/>
      <c r="BA171" s="42">
        <f t="shared" si="12"/>
        <v>3</v>
      </c>
      <c r="BB171" s="43">
        <v>4</v>
      </c>
      <c r="BC171" s="43"/>
      <c r="BD171" s="44"/>
      <c r="BE171" s="44"/>
      <c r="BF171" s="45">
        <v>4</v>
      </c>
      <c r="BG171" s="45">
        <v>4</v>
      </c>
      <c r="BH171" s="45"/>
      <c r="BI171" s="45">
        <f t="shared" si="9"/>
        <v>4</v>
      </c>
    </row>
    <row r="172" spans="1:61" ht="16.5" customHeight="1">
      <c r="A172" s="48">
        <v>171</v>
      </c>
      <c r="B172" s="49" t="b">
        <v>0</v>
      </c>
      <c r="C172" s="37" t="s">
        <v>155</v>
      </c>
      <c r="D172" s="37" t="s">
        <v>181</v>
      </c>
      <c r="E172" s="38" t="s">
        <v>62</v>
      </c>
      <c r="F172" s="38" t="s">
        <v>74</v>
      </c>
      <c r="G172" s="38" t="s">
        <v>78</v>
      </c>
      <c r="H172" s="38"/>
      <c r="I172" s="39" t="s">
        <v>65</v>
      </c>
      <c r="J172" s="39" t="s">
        <v>83</v>
      </c>
      <c r="K172" s="39"/>
      <c r="L172" s="39">
        <v>2.5</v>
      </c>
      <c r="M172" s="39"/>
      <c r="N172" s="39"/>
      <c r="O172" s="39" t="s">
        <v>70</v>
      </c>
      <c r="P172" s="39"/>
      <c r="Q172" s="40">
        <v>3</v>
      </c>
      <c r="R172" s="40">
        <v>2</v>
      </c>
      <c r="S172" s="40">
        <v>4</v>
      </c>
      <c r="T172" s="40">
        <v>4</v>
      </c>
      <c r="U172" s="40">
        <v>4</v>
      </c>
      <c r="V172" s="40">
        <v>4</v>
      </c>
      <c r="W172" s="40">
        <v>4</v>
      </c>
      <c r="X172" s="40">
        <v>3</v>
      </c>
      <c r="Y172" s="40">
        <v>4</v>
      </c>
      <c r="Z172" s="40">
        <f t="shared" si="10"/>
        <v>3.5555555555555554</v>
      </c>
      <c r="AA172" s="41">
        <v>1</v>
      </c>
      <c r="AB172" s="41">
        <v>1</v>
      </c>
      <c r="AC172" s="41">
        <v>3</v>
      </c>
      <c r="AD172" s="41">
        <v>4</v>
      </c>
      <c r="AE172" s="41">
        <v>3</v>
      </c>
      <c r="AF172" s="41">
        <v>4</v>
      </c>
      <c r="AG172" s="41">
        <v>4</v>
      </c>
      <c r="AH172" s="41">
        <v>3</v>
      </c>
      <c r="AI172" s="41">
        <v>3</v>
      </c>
      <c r="AJ172" s="41">
        <f t="shared" si="11"/>
        <v>2.8888888888888888</v>
      </c>
      <c r="AK172" s="40"/>
      <c r="AL172" s="40"/>
      <c r="AM172" s="40"/>
      <c r="AN172" s="40"/>
      <c r="AO172" s="40"/>
      <c r="AP172" s="40"/>
      <c r="AQ172" s="40"/>
      <c r="AR172" s="40"/>
      <c r="AS172" s="40"/>
      <c r="AT172" s="40"/>
      <c r="AU172" s="40"/>
      <c r="AV172" s="40">
        <v>4</v>
      </c>
      <c r="AW172" s="42">
        <v>4</v>
      </c>
      <c r="AX172" s="42">
        <v>4</v>
      </c>
      <c r="AY172" s="42">
        <v>4</v>
      </c>
      <c r="AZ172" s="42"/>
      <c r="BA172" s="42">
        <f t="shared" si="12"/>
        <v>4</v>
      </c>
      <c r="BB172" s="43">
        <v>4</v>
      </c>
      <c r="BC172" s="43"/>
      <c r="BD172" s="44"/>
      <c r="BE172" s="44"/>
      <c r="BF172" s="45">
        <v>4</v>
      </c>
      <c r="BG172" s="45">
        <v>4</v>
      </c>
      <c r="BH172" s="45">
        <v>4</v>
      </c>
      <c r="BI172" s="45">
        <f t="shared" si="9"/>
        <v>4</v>
      </c>
    </row>
    <row r="173" spans="1:61" ht="16.5" customHeight="1">
      <c r="A173" s="48">
        <v>172</v>
      </c>
      <c r="B173" s="49" t="b">
        <v>0</v>
      </c>
      <c r="C173" s="37" t="s">
        <v>184</v>
      </c>
      <c r="D173" s="37"/>
      <c r="E173" s="38" t="s">
        <v>86</v>
      </c>
      <c r="F173" s="38" t="s">
        <v>78</v>
      </c>
      <c r="G173" s="38"/>
      <c r="H173" s="38"/>
      <c r="I173" s="39" t="s">
        <v>65</v>
      </c>
      <c r="J173" s="39" t="s">
        <v>65</v>
      </c>
      <c r="K173" s="39" t="s">
        <v>65</v>
      </c>
      <c r="L173" s="39">
        <v>3</v>
      </c>
      <c r="M173" s="39"/>
      <c r="N173" s="39"/>
      <c r="O173" s="39"/>
      <c r="P173" s="39"/>
      <c r="Q173" s="40">
        <v>4</v>
      </c>
      <c r="R173" s="40">
        <v>4</v>
      </c>
      <c r="S173" s="40">
        <v>4</v>
      </c>
      <c r="T173" s="40">
        <v>4</v>
      </c>
      <c r="U173" s="40">
        <v>4</v>
      </c>
      <c r="V173" s="40">
        <v>4</v>
      </c>
      <c r="W173" s="40">
        <v>3</v>
      </c>
      <c r="X173" s="40">
        <v>3</v>
      </c>
      <c r="Y173" s="40">
        <v>3</v>
      </c>
      <c r="Z173" s="40">
        <f t="shared" si="10"/>
        <v>3.6666666666666665</v>
      </c>
      <c r="AA173" s="41">
        <v>3</v>
      </c>
      <c r="AB173" s="41">
        <v>2</v>
      </c>
      <c r="AC173" s="41">
        <v>3</v>
      </c>
      <c r="AD173" s="41">
        <v>3</v>
      </c>
      <c r="AE173" s="41">
        <v>3</v>
      </c>
      <c r="AF173" s="41">
        <v>3</v>
      </c>
      <c r="AG173" s="41">
        <v>3</v>
      </c>
      <c r="AH173" s="41">
        <v>3</v>
      </c>
      <c r="AI173" s="41">
        <v>3</v>
      </c>
      <c r="AJ173" s="41">
        <f t="shared" si="11"/>
        <v>2.8888888888888888</v>
      </c>
      <c r="AK173" s="40"/>
      <c r="AL173" s="40"/>
      <c r="AM173" s="40"/>
      <c r="AN173" s="40"/>
      <c r="AO173" s="40"/>
      <c r="AP173" s="40"/>
      <c r="AQ173" s="40"/>
      <c r="AR173" s="40"/>
      <c r="AS173" s="40"/>
      <c r="AT173" s="40"/>
      <c r="AU173" s="40"/>
      <c r="AV173" s="40">
        <v>3</v>
      </c>
      <c r="AW173" s="42">
        <v>4</v>
      </c>
      <c r="AX173" s="42">
        <v>4</v>
      </c>
      <c r="AY173" s="42">
        <v>4</v>
      </c>
      <c r="AZ173" s="42"/>
      <c r="BA173" s="42">
        <f t="shared" si="12"/>
        <v>4</v>
      </c>
      <c r="BB173" s="43"/>
      <c r="BC173" s="43"/>
      <c r="BD173" s="44"/>
      <c r="BE173" s="44">
        <v>4</v>
      </c>
      <c r="BF173" s="45"/>
      <c r="BG173" s="45">
        <v>4</v>
      </c>
      <c r="BH173" s="45">
        <v>4</v>
      </c>
      <c r="BI173" s="45">
        <f t="shared" si="9"/>
        <v>4</v>
      </c>
    </row>
    <row r="174" spans="1:61" ht="16.5" customHeight="1">
      <c r="A174" s="48">
        <v>173</v>
      </c>
      <c r="B174" s="49" t="b">
        <v>0</v>
      </c>
      <c r="C174" s="37" t="s">
        <v>95</v>
      </c>
      <c r="D174" s="37"/>
      <c r="E174" s="38" t="s">
        <v>72</v>
      </c>
      <c r="F174" s="38" t="s">
        <v>78</v>
      </c>
      <c r="G174" s="38" t="s">
        <v>78</v>
      </c>
      <c r="H174" s="38"/>
      <c r="I174" s="39" t="s">
        <v>65</v>
      </c>
      <c r="J174" s="39" t="s">
        <v>65</v>
      </c>
      <c r="K174" s="39"/>
      <c r="L174" s="39">
        <v>2.5</v>
      </c>
      <c r="M174" s="39"/>
      <c r="N174" s="39"/>
      <c r="O174" s="39" t="s">
        <v>70</v>
      </c>
      <c r="P174" s="39"/>
      <c r="Q174" s="40">
        <v>4</v>
      </c>
      <c r="R174" s="40">
        <v>4</v>
      </c>
      <c r="S174" s="40">
        <v>4</v>
      </c>
      <c r="T174" s="40">
        <v>4</v>
      </c>
      <c r="U174" s="40">
        <v>4</v>
      </c>
      <c r="V174" s="40">
        <v>4</v>
      </c>
      <c r="W174" s="40">
        <v>4</v>
      </c>
      <c r="X174" s="40">
        <v>4</v>
      </c>
      <c r="Y174" s="40">
        <v>3</v>
      </c>
      <c r="Z174" s="40">
        <f t="shared" si="10"/>
        <v>3.8888888888888888</v>
      </c>
      <c r="AA174" s="41">
        <v>3</v>
      </c>
      <c r="AB174" s="41">
        <v>3</v>
      </c>
      <c r="AC174" s="41">
        <v>3</v>
      </c>
      <c r="AD174" s="41">
        <v>3</v>
      </c>
      <c r="AE174" s="41">
        <v>3</v>
      </c>
      <c r="AF174" s="41">
        <v>3</v>
      </c>
      <c r="AG174" s="41">
        <v>3</v>
      </c>
      <c r="AH174" s="41">
        <v>3</v>
      </c>
      <c r="AI174" s="41">
        <v>3</v>
      </c>
      <c r="AJ174" s="41">
        <f t="shared" si="11"/>
        <v>3</v>
      </c>
      <c r="AK174" s="40"/>
      <c r="AL174" s="40"/>
      <c r="AM174" s="40"/>
      <c r="AN174" s="40"/>
      <c r="AO174" s="40"/>
      <c r="AP174" s="40"/>
      <c r="AQ174" s="40"/>
      <c r="AR174" s="40"/>
      <c r="AS174" s="40"/>
      <c r="AT174" s="40"/>
      <c r="AU174" s="40"/>
      <c r="AV174" s="40">
        <v>4</v>
      </c>
      <c r="AW174" s="42">
        <v>3</v>
      </c>
      <c r="AX174" s="42">
        <v>3</v>
      </c>
      <c r="AY174" s="42">
        <v>4</v>
      </c>
      <c r="AZ174" s="42"/>
      <c r="BA174" s="42">
        <f t="shared" si="12"/>
        <v>3.3333333333333335</v>
      </c>
      <c r="BB174" s="43">
        <v>4</v>
      </c>
      <c r="BC174" s="43"/>
      <c r="BD174" s="44"/>
      <c r="BE174" s="44"/>
      <c r="BF174" s="45">
        <v>4</v>
      </c>
      <c r="BG174" s="45">
        <v>4</v>
      </c>
      <c r="BH174" s="45">
        <v>4</v>
      </c>
      <c r="BI174" s="45">
        <f t="shared" si="9"/>
        <v>4</v>
      </c>
    </row>
    <row r="175" spans="1:61" ht="16.5" customHeight="1">
      <c r="A175" s="48">
        <v>174</v>
      </c>
      <c r="B175" s="49" t="b">
        <v>1</v>
      </c>
      <c r="C175" s="37" t="s">
        <v>185</v>
      </c>
      <c r="D175" s="37"/>
      <c r="E175" s="38" t="s">
        <v>96</v>
      </c>
      <c r="F175" s="38" t="s">
        <v>105</v>
      </c>
      <c r="G175" s="38"/>
      <c r="H175" s="38"/>
      <c r="I175" s="39" t="s">
        <v>65</v>
      </c>
      <c r="J175" s="39" t="s">
        <v>65</v>
      </c>
      <c r="K175" s="39" t="s">
        <v>69</v>
      </c>
      <c r="L175" s="39" t="s">
        <v>92</v>
      </c>
      <c r="M175" s="39" t="s">
        <v>70</v>
      </c>
      <c r="N175" s="39"/>
      <c r="O175" s="39"/>
      <c r="P175" s="39"/>
      <c r="Q175" s="40">
        <v>4</v>
      </c>
      <c r="R175" s="40">
        <v>4</v>
      </c>
      <c r="S175" s="40">
        <v>4</v>
      </c>
      <c r="T175" s="40">
        <v>4</v>
      </c>
      <c r="U175" s="40">
        <v>4</v>
      </c>
      <c r="V175" s="40">
        <v>4</v>
      </c>
      <c r="W175" s="40">
        <v>4</v>
      </c>
      <c r="X175" s="40">
        <v>4</v>
      </c>
      <c r="Y175" s="40">
        <v>4</v>
      </c>
      <c r="Z175" s="40">
        <f t="shared" si="10"/>
        <v>4</v>
      </c>
      <c r="AA175" s="41">
        <v>4</v>
      </c>
      <c r="AB175" s="41">
        <v>3</v>
      </c>
      <c r="AC175" s="41">
        <v>3</v>
      </c>
      <c r="AD175" s="41">
        <v>3</v>
      </c>
      <c r="AE175" s="41">
        <v>2</v>
      </c>
      <c r="AF175" s="41">
        <v>3</v>
      </c>
      <c r="AG175" s="41">
        <v>4</v>
      </c>
      <c r="AH175" s="41">
        <v>4</v>
      </c>
      <c r="AI175" s="41">
        <v>3</v>
      </c>
      <c r="AJ175" s="41">
        <f t="shared" si="11"/>
        <v>3.2222222222222223</v>
      </c>
      <c r="AK175" s="40"/>
      <c r="AL175" s="40"/>
      <c r="AM175" s="40"/>
      <c r="AN175" s="40"/>
      <c r="AO175" s="40"/>
      <c r="AP175" s="40"/>
      <c r="AQ175" s="40"/>
      <c r="AR175" s="40"/>
      <c r="AS175" s="40"/>
      <c r="AT175" s="40"/>
      <c r="AU175" s="40"/>
      <c r="AV175" s="40"/>
      <c r="AW175" s="42">
        <v>3</v>
      </c>
      <c r="AX175" s="42">
        <v>4</v>
      </c>
      <c r="AY175" s="42"/>
      <c r="AZ175" s="42"/>
      <c r="BA175" s="42">
        <f t="shared" si="12"/>
        <v>3.5</v>
      </c>
      <c r="BB175" s="43">
        <v>4</v>
      </c>
      <c r="BC175" s="43">
        <v>3</v>
      </c>
      <c r="BD175" s="44"/>
      <c r="BE175" s="44"/>
      <c r="BF175" s="45">
        <v>4</v>
      </c>
      <c r="BG175" s="45">
        <v>4</v>
      </c>
      <c r="BH175" s="45"/>
      <c r="BI175" s="45">
        <f t="shared" si="9"/>
        <v>3.75</v>
      </c>
    </row>
    <row r="176" spans="1:61" ht="16.5" customHeight="1">
      <c r="A176" s="48">
        <v>175</v>
      </c>
      <c r="B176" s="49" t="b">
        <v>0</v>
      </c>
      <c r="C176" s="37" t="s">
        <v>114</v>
      </c>
      <c r="D176" s="37"/>
      <c r="E176" s="38" t="s">
        <v>96</v>
      </c>
      <c r="F176" s="38" t="s">
        <v>78</v>
      </c>
      <c r="G176" s="38" t="s">
        <v>78</v>
      </c>
      <c r="H176" s="38"/>
      <c r="I176" s="39" t="s">
        <v>65</v>
      </c>
      <c r="J176" s="39" t="s">
        <v>65</v>
      </c>
      <c r="K176" s="39"/>
      <c r="L176" s="39">
        <v>2.5</v>
      </c>
      <c r="M176" s="39"/>
      <c r="N176" s="39"/>
      <c r="O176" s="39"/>
      <c r="P176" s="39"/>
      <c r="Q176" s="40">
        <v>4</v>
      </c>
      <c r="R176" s="40">
        <v>3</v>
      </c>
      <c r="S176" s="40">
        <v>4</v>
      </c>
      <c r="T176" s="40">
        <v>4</v>
      </c>
      <c r="U176" s="40">
        <v>4</v>
      </c>
      <c r="V176" s="40">
        <v>4</v>
      </c>
      <c r="W176" s="40">
        <v>4</v>
      </c>
      <c r="X176" s="40">
        <v>4</v>
      </c>
      <c r="Y176" s="40">
        <v>4</v>
      </c>
      <c r="Z176" s="40">
        <f t="shared" si="10"/>
        <v>3.8888888888888888</v>
      </c>
      <c r="AA176" s="41">
        <v>1</v>
      </c>
      <c r="AB176" s="41">
        <v>1</v>
      </c>
      <c r="AC176" s="41">
        <v>1</v>
      </c>
      <c r="AD176" s="41">
        <v>1</v>
      </c>
      <c r="AE176" s="41">
        <v>2</v>
      </c>
      <c r="AF176" s="41">
        <v>3</v>
      </c>
      <c r="AG176" s="41">
        <v>3</v>
      </c>
      <c r="AH176" s="41">
        <v>1</v>
      </c>
      <c r="AI176" s="41">
        <v>2</v>
      </c>
      <c r="AJ176" s="41">
        <f t="shared" si="11"/>
        <v>1.6666666666666667</v>
      </c>
      <c r="AK176" s="40"/>
      <c r="AL176" s="40"/>
      <c r="AM176" s="40"/>
      <c r="AN176" s="40"/>
      <c r="AO176" s="40"/>
      <c r="AP176" s="40"/>
      <c r="AQ176" s="40"/>
      <c r="AR176" s="40"/>
      <c r="AS176" s="40"/>
      <c r="AT176" s="40"/>
      <c r="AU176" s="40"/>
      <c r="AV176" s="40">
        <v>3</v>
      </c>
      <c r="AW176" s="42">
        <v>4</v>
      </c>
      <c r="AX176" s="42">
        <v>4</v>
      </c>
      <c r="AY176" s="42">
        <v>4</v>
      </c>
      <c r="AZ176" s="42"/>
      <c r="BA176" s="42">
        <f t="shared" si="12"/>
        <v>4</v>
      </c>
      <c r="BB176" s="43">
        <v>4</v>
      </c>
      <c r="BC176" s="43">
        <v>3</v>
      </c>
      <c r="BD176" s="44">
        <v>4</v>
      </c>
      <c r="BE176" s="44"/>
      <c r="BF176" s="45">
        <v>4</v>
      </c>
      <c r="BG176" s="45">
        <v>4</v>
      </c>
      <c r="BH176" s="45"/>
      <c r="BI176" s="45">
        <f t="shared" si="9"/>
        <v>3.8</v>
      </c>
    </row>
    <row r="177" spans="1:61" ht="16.5" customHeight="1">
      <c r="A177" s="48">
        <v>176</v>
      </c>
      <c r="B177" s="49" t="b">
        <v>0</v>
      </c>
      <c r="C177" s="37" t="s">
        <v>155</v>
      </c>
      <c r="D177" s="37" t="s">
        <v>181</v>
      </c>
      <c r="E177" s="38" t="s">
        <v>73</v>
      </c>
      <c r="F177" s="38" t="s">
        <v>78</v>
      </c>
      <c r="G177" s="38" t="s">
        <v>78</v>
      </c>
      <c r="H177" s="38"/>
      <c r="I177" s="39" t="s">
        <v>65</v>
      </c>
      <c r="J177" s="39" t="s">
        <v>83</v>
      </c>
      <c r="K177" s="39"/>
      <c r="L177" s="39">
        <v>2.5</v>
      </c>
      <c r="M177" s="39"/>
      <c r="N177" s="39"/>
      <c r="O177" s="39" t="s">
        <v>70</v>
      </c>
      <c r="P177" s="39"/>
      <c r="Q177" s="40">
        <v>3</v>
      </c>
      <c r="R177" s="40">
        <v>3</v>
      </c>
      <c r="S177" s="40">
        <v>4</v>
      </c>
      <c r="T177" s="40">
        <v>4</v>
      </c>
      <c r="U177" s="40">
        <v>4</v>
      </c>
      <c r="V177" s="40">
        <v>4</v>
      </c>
      <c r="W177" s="40">
        <v>4</v>
      </c>
      <c r="X177" s="40">
        <v>4</v>
      </c>
      <c r="Y177" s="40">
        <v>4</v>
      </c>
      <c r="Z177" s="40">
        <f t="shared" si="10"/>
        <v>3.7777777777777777</v>
      </c>
      <c r="AA177" s="41">
        <v>1</v>
      </c>
      <c r="AB177" s="41">
        <v>1</v>
      </c>
      <c r="AC177" s="41">
        <v>4</v>
      </c>
      <c r="AD177" s="41">
        <v>4</v>
      </c>
      <c r="AE177" s="41">
        <v>4</v>
      </c>
      <c r="AF177" s="41">
        <v>4</v>
      </c>
      <c r="AG177" s="41">
        <v>4</v>
      </c>
      <c r="AH177" s="41">
        <v>3</v>
      </c>
      <c r="AI177" s="41">
        <v>4</v>
      </c>
      <c r="AJ177" s="41">
        <f t="shared" si="11"/>
        <v>3.2222222222222223</v>
      </c>
      <c r="AK177" s="40"/>
      <c r="AL177" s="40"/>
      <c r="AM177" s="40"/>
      <c r="AN177" s="40"/>
      <c r="AO177" s="40"/>
      <c r="AP177" s="40"/>
      <c r="AQ177" s="40"/>
      <c r="AR177" s="40"/>
      <c r="AS177" s="40"/>
      <c r="AT177" s="40"/>
      <c r="AU177" s="40"/>
      <c r="AV177" s="40">
        <v>4</v>
      </c>
      <c r="AW177" s="42">
        <v>4</v>
      </c>
      <c r="AX177" s="42">
        <v>4</v>
      </c>
      <c r="AY177" s="42">
        <v>4</v>
      </c>
      <c r="AZ177" s="42"/>
      <c r="BA177" s="42">
        <f t="shared" si="12"/>
        <v>4</v>
      </c>
      <c r="BB177" s="43">
        <v>4</v>
      </c>
      <c r="BC177" s="43"/>
      <c r="BD177" s="44"/>
      <c r="BE177" s="44"/>
      <c r="BF177" s="45">
        <v>5</v>
      </c>
      <c r="BG177" s="45">
        <v>5</v>
      </c>
      <c r="BH177" s="45">
        <v>5</v>
      </c>
      <c r="BI177" s="45">
        <f t="shared" si="9"/>
        <v>4.75</v>
      </c>
    </row>
    <row r="178" spans="1:61" ht="16.5" customHeight="1">
      <c r="A178" s="48">
        <v>177</v>
      </c>
      <c r="B178" s="49" t="b">
        <v>0</v>
      </c>
      <c r="C178" s="37" t="s">
        <v>155</v>
      </c>
      <c r="D178" s="37" t="s">
        <v>85</v>
      </c>
      <c r="E178" s="38" t="s">
        <v>96</v>
      </c>
      <c r="F178" s="38" t="s">
        <v>105</v>
      </c>
      <c r="G178" s="38" t="s">
        <v>78</v>
      </c>
      <c r="H178" s="38"/>
      <c r="I178" s="39" t="s">
        <v>65</v>
      </c>
      <c r="J178" s="39" t="s">
        <v>87</v>
      </c>
      <c r="K178" s="39" t="s">
        <v>65</v>
      </c>
      <c r="L178" s="39">
        <v>3</v>
      </c>
      <c r="M178" s="39"/>
      <c r="N178" s="39"/>
      <c r="O178" s="39" t="s">
        <v>70</v>
      </c>
      <c r="P178" s="39"/>
      <c r="Q178" s="40">
        <v>3</v>
      </c>
      <c r="R178" s="40">
        <v>3</v>
      </c>
      <c r="S178" s="40">
        <v>3</v>
      </c>
      <c r="T178" s="40">
        <v>3</v>
      </c>
      <c r="U178" s="40">
        <v>1</v>
      </c>
      <c r="V178" s="40">
        <v>3</v>
      </c>
      <c r="W178" s="40">
        <v>3</v>
      </c>
      <c r="X178" s="40">
        <v>3</v>
      </c>
      <c r="Y178" s="40">
        <v>3</v>
      </c>
      <c r="Z178" s="40">
        <f t="shared" si="10"/>
        <v>2.7777777777777777</v>
      </c>
      <c r="AA178" s="41">
        <v>3</v>
      </c>
      <c r="AB178" s="41">
        <v>3</v>
      </c>
      <c r="AC178" s="41">
        <v>3</v>
      </c>
      <c r="AD178" s="41">
        <v>3</v>
      </c>
      <c r="AE178" s="41">
        <v>3</v>
      </c>
      <c r="AF178" s="41">
        <v>3</v>
      </c>
      <c r="AG178" s="41">
        <v>3</v>
      </c>
      <c r="AH178" s="41">
        <v>3</v>
      </c>
      <c r="AI178" s="41">
        <v>3</v>
      </c>
      <c r="AJ178" s="41">
        <f t="shared" si="11"/>
        <v>3</v>
      </c>
      <c r="AK178" s="40"/>
      <c r="AL178" s="40"/>
      <c r="AM178" s="40"/>
      <c r="AN178" s="40"/>
      <c r="AO178" s="40"/>
      <c r="AP178" s="40"/>
      <c r="AQ178" s="40"/>
      <c r="AR178" s="40"/>
      <c r="AS178" s="40"/>
      <c r="AT178" s="40"/>
      <c r="AU178" s="40"/>
      <c r="AV178" s="40">
        <v>2</v>
      </c>
      <c r="AW178" s="42">
        <v>4</v>
      </c>
      <c r="AX178" s="42">
        <v>4</v>
      </c>
      <c r="AY178" s="42">
        <v>4</v>
      </c>
      <c r="AZ178" s="42"/>
      <c r="BA178" s="42">
        <f t="shared" si="12"/>
        <v>4</v>
      </c>
      <c r="BB178" s="43">
        <v>4</v>
      </c>
      <c r="BC178" s="43"/>
      <c r="BD178" s="44"/>
      <c r="BE178" s="44"/>
      <c r="BF178" s="45">
        <v>4</v>
      </c>
      <c r="BG178" s="45">
        <v>4</v>
      </c>
      <c r="BH178" s="45">
        <v>4</v>
      </c>
      <c r="BI178" s="45">
        <f t="shared" si="9"/>
        <v>4</v>
      </c>
    </row>
    <row r="179" spans="1:61" ht="16.5" customHeight="1">
      <c r="A179" s="48">
        <v>178</v>
      </c>
      <c r="B179" s="49" t="b">
        <v>0</v>
      </c>
      <c r="C179" s="37" t="s">
        <v>155</v>
      </c>
      <c r="D179" s="37" t="s">
        <v>186</v>
      </c>
      <c r="E179" s="38" t="s">
        <v>73</v>
      </c>
      <c r="F179" s="38" t="s">
        <v>105</v>
      </c>
      <c r="G179" s="38" t="s">
        <v>78</v>
      </c>
      <c r="H179" s="38"/>
      <c r="I179" s="39" t="s">
        <v>65</v>
      </c>
      <c r="J179" s="39" t="s">
        <v>87</v>
      </c>
      <c r="K179" s="39" t="s">
        <v>69</v>
      </c>
      <c r="L179" s="39">
        <v>3</v>
      </c>
      <c r="M179" s="39"/>
      <c r="N179" s="39"/>
      <c r="O179" s="39" t="s">
        <v>70</v>
      </c>
      <c r="P179" s="39"/>
      <c r="Q179" s="40">
        <v>3</v>
      </c>
      <c r="R179" s="40">
        <v>3</v>
      </c>
      <c r="S179" s="40">
        <v>3</v>
      </c>
      <c r="T179" s="40">
        <v>3</v>
      </c>
      <c r="U179" s="40">
        <v>3</v>
      </c>
      <c r="V179" s="40">
        <v>3</v>
      </c>
      <c r="W179" s="40">
        <v>3</v>
      </c>
      <c r="X179" s="40">
        <v>3</v>
      </c>
      <c r="Y179" s="40">
        <v>3</v>
      </c>
      <c r="Z179" s="40">
        <f t="shared" si="10"/>
        <v>3</v>
      </c>
      <c r="AA179" s="41">
        <v>3</v>
      </c>
      <c r="AB179" s="41">
        <v>3</v>
      </c>
      <c r="AC179" s="41">
        <v>3</v>
      </c>
      <c r="AD179" s="41">
        <v>3</v>
      </c>
      <c r="AE179" s="41">
        <v>3</v>
      </c>
      <c r="AF179" s="41">
        <v>3</v>
      </c>
      <c r="AG179" s="41">
        <v>3</v>
      </c>
      <c r="AH179" s="41">
        <v>2</v>
      </c>
      <c r="AI179" s="41">
        <v>3</v>
      </c>
      <c r="AJ179" s="41">
        <f t="shared" si="11"/>
        <v>2.8888888888888888</v>
      </c>
      <c r="AK179" s="40"/>
      <c r="AL179" s="40"/>
      <c r="AM179" s="40"/>
      <c r="AN179" s="40"/>
      <c r="AO179" s="40"/>
      <c r="AP179" s="40"/>
      <c r="AQ179" s="40"/>
      <c r="AR179" s="40"/>
      <c r="AS179" s="40"/>
      <c r="AT179" s="40"/>
      <c r="AU179" s="40"/>
      <c r="AV179" s="40">
        <v>1</v>
      </c>
      <c r="AW179" s="42">
        <v>1</v>
      </c>
      <c r="AX179" s="42">
        <v>4</v>
      </c>
      <c r="AY179" s="42">
        <v>4</v>
      </c>
      <c r="AZ179" s="42"/>
      <c r="BA179" s="42">
        <f t="shared" si="12"/>
        <v>3</v>
      </c>
      <c r="BB179" s="43">
        <v>1</v>
      </c>
      <c r="BC179" s="43"/>
      <c r="BD179" s="44"/>
      <c r="BE179" s="44"/>
      <c r="BF179" s="45">
        <v>3</v>
      </c>
      <c r="BG179" s="45">
        <v>3</v>
      </c>
      <c r="BH179" s="45">
        <v>3</v>
      </c>
      <c r="BI179" s="45">
        <f t="shared" si="9"/>
        <v>2.5</v>
      </c>
    </row>
    <row r="180" spans="1:61" ht="16.5" customHeight="1">
      <c r="A180" s="48">
        <v>179</v>
      </c>
      <c r="B180" s="49" t="b">
        <v>0</v>
      </c>
      <c r="C180" s="37" t="s">
        <v>155</v>
      </c>
      <c r="D180" s="37" t="s">
        <v>181</v>
      </c>
      <c r="E180" s="38" t="s">
        <v>187</v>
      </c>
      <c r="F180" s="38" t="s">
        <v>74</v>
      </c>
      <c r="G180" s="38" t="s">
        <v>64</v>
      </c>
      <c r="H180" s="38"/>
      <c r="I180" s="39" t="s">
        <v>65</v>
      </c>
      <c r="J180" s="39" t="s">
        <v>83</v>
      </c>
      <c r="K180" s="39"/>
      <c r="L180" s="39">
        <v>2.5</v>
      </c>
      <c r="M180" s="39"/>
      <c r="N180" s="39"/>
      <c r="O180" s="39" t="s">
        <v>70</v>
      </c>
      <c r="P180" s="39"/>
      <c r="Q180" s="40">
        <v>4</v>
      </c>
      <c r="R180" s="40">
        <v>4</v>
      </c>
      <c r="S180" s="40">
        <v>4</v>
      </c>
      <c r="T180" s="40">
        <v>4</v>
      </c>
      <c r="U180" s="40">
        <v>3</v>
      </c>
      <c r="V180" s="40">
        <v>4</v>
      </c>
      <c r="W180" s="40">
        <v>3</v>
      </c>
      <c r="X180" s="40">
        <v>4</v>
      </c>
      <c r="Y180" s="40">
        <v>4</v>
      </c>
      <c r="Z180" s="40">
        <f t="shared" si="10"/>
        <v>3.7777777777777777</v>
      </c>
      <c r="AA180" s="41">
        <v>1</v>
      </c>
      <c r="AB180" s="41">
        <v>1</v>
      </c>
      <c r="AC180" s="41">
        <v>2</v>
      </c>
      <c r="AD180" s="41">
        <v>3</v>
      </c>
      <c r="AE180" s="41">
        <v>3</v>
      </c>
      <c r="AF180" s="41">
        <v>4</v>
      </c>
      <c r="AG180" s="41">
        <v>4</v>
      </c>
      <c r="AH180" s="41">
        <v>4</v>
      </c>
      <c r="AI180" s="41">
        <v>4</v>
      </c>
      <c r="AJ180" s="41">
        <f t="shared" si="11"/>
        <v>2.8888888888888888</v>
      </c>
      <c r="AK180" s="40"/>
      <c r="AL180" s="40"/>
      <c r="AM180" s="40"/>
      <c r="AN180" s="40"/>
      <c r="AO180" s="40"/>
      <c r="AP180" s="40"/>
      <c r="AQ180" s="40"/>
      <c r="AR180" s="40"/>
      <c r="AS180" s="40"/>
      <c r="AT180" s="40"/>
      <c r="AU180" s="40"/>
      <c r="AV180" s="40">
        <v>4</v>
      </c>
      <c r="AW180" s="42">
        <v>4</v>
      </c>
      <c r="AX180" s="42">
        <v>4</v>
      </c>
      <c r="AY180" s="42">
        <v>4</v>
      </c>
      <c r="AZ180" s="42"/>
      <c r="BA180" s="42">
        <f t="shared" si="12"/>
        <v>4</v>
      </c>
      <c r="BB180" s="43">
        <v>4</v>
      </c>
      <c r="BC180" s="43"/>
      <c r="BD180" s="44"/>
      <c r="BE180" s="44"/>
      <c r="BF180" s="45">
        <v>4</v>
      </c>
      <c r="BG180" s="45">
        <v>4</v>
      </c>
      <c r="BH180" s="45">
        <v>4</v>
      </c>
      <c r="BI180" s="45">
        <f t="shared" si="9"/>
        <v>4</v>
      </c>
    </row>
    <row r="181" spans="1:61" ht="16.5" customHeight="1">
      <c r="A181" s="48">
        <v>180</v>
      </c>
      <c r="B181" s="49" t="b">
        <v>0</v>
      </c>
      <c r="C181" s="37" t="s">
        <v>155</v>
      </c>
      <c r="D181" s="37"/>
      <c r="E181" s="38" t="s">
        <v>72</v>
      </c>
      <c r="F181" s="38" t="s">
        <v>78</v>
      </c>
      <c r="G181" s="38" t="s">
        <v>78</v>
      </c>
      <c r="H181" s="38"/>
      <c r="I181" s="39" t="s">
        <v>65</v>
      </c>
      <c r="J181" s="39" t="s">
        <v>83</v>
      </c>
      <c r="K181" s="39"/>
      <c r="L181" s="39">
        <v>2.5</v>
      </c>
      <c r="M181" s="39"/>
      <c r="N181" s="39"/>
      <c r="O181" s="39" t="s">
        <v>70</v>
      </c>
      <c r="P181" s="39"/>
      <c r="Q181" s="40">
        <v>4</v>
      </c>
      <c r="R181" s="40">
        <v>4</v>
      </c>
      <c r="S181" s="40">
        <v>4</v>
      </c>
      <c r="T181" s="40">
        <v>4</v>
      </c>
      <c r="U181" s="40">
        <v>4</v>
      </c>
      <c r="V181" s="40">
        <v>4</v>
      </c>
      <c r="W181" s="40">
        <v>4</v>
      </c>
      <c r="X181" s="40">
        <v>4</v>
      </c>
      <c r="Y181" s="40">
        <v>4</v>
      </c>
      <c r="Z181" s="40">
        <f t="shared" si="10"/>
        <v>4</v>
      </c>
      <c r="AA181" s="41">
        <v>1</v>
      </c>
      <c r="AB181" s="41">
        <v>1</v>
      </c>
      <c r="AC181" s="41">
        <v>3</v>
      </c>
      <c r="AD181" s="41">
        <v>4</v>
      </c>
      <c r="AE181" s="41">
        <v>3</v>
      </c>
      <c r="AF181" s="41">
        <v>3</v>
      </c>
      <c r="AG181" s="41">
        <v>3</v>
      </c>
      <c r="AH181" s="41">
        <v>3</v>
      </c>
      <c r="AI181" s="41">
        <v>3</v>
      </c>
      <c r="AJ181" s="41">
        <f t="shared" si="11"/>
        <v>2.6666666666666665</v>
      </c>
      <c r="AK181" s="40"/>
      <c r="AL181" s="40"/>
      <c r="AM181" s="40"/>
      <c r="AN181" s="40"/>
      <c r="AO181" s="40"/>
      <c r="AP181" s="40"/>
      <c r="AQ181" s="40"/>
      <c r="AR181" s="40"/>
      <c r="AS181" s="40"/>
      <c r="AT181" s="40"/>
      <c r="AU181" s="40"/>
      <c r="AV181" s="40">
        <v>4</v>
      </c>
      <c r="AW181" s="42">
        <v>4</v>
      </c>
      <c r="AX181" s="42">
        <v>4</v>
      </c>
      <c r="AY181" s="42"/>
      <c r="AZ181" s="42"/>
      <c r="BA181" s="42">
        <f t="shared" si="12"/>
        <v>4</v>
      </c>
      <c r="BB181" s="43"/>
      <c r="BC181" s="43"/>
      <c r="BD181" s="44">
        <v>4</v>
      </c>
      <c r="BE181" s="44">
        <v>4</v>
      </c>
      <c r="BF181" s="45"/>
      <c r="BG181" s="45">
        <v>4</v>
      </c>
      <c r="BH181" s="45"/>
      <c r="BI181" s="45">
        <f t="shared" si="9"/>
        <v>4</v>
      </c>
    </row>
    <row r="182" spans="1:61" ht="16.5" customHeight="1">
      <c r="A182" s="48">
        <v>181</v>
      </c>
      <c r="B182" s="49" t="b">
        <v>0</v>
      </c>
      <c r="C182" s="37" t="s">
        <v>155</v>
      </c>
      <c r="D182" s="37" t="s">
        <v>181</v>
      </c>
      <c r="E182" s="38" t="s">
        <v>72</v>
      </c>
      <c r="F182" s="38"/>
      <c r="G182" s="38"/>
      <c r="H182" s="38"/>
      <c r="I182" s="39" t="s">
        <v>65</v>
      </c>
      <c r="J182" s="39" t="s">
        <v>83</v>
      </c>
      <c r="K182" s="39"/>
      <c r="L182" s="39">
        <v>2.5</v>
      </c>
      <c r="M182" s="39"/>
      <c r="N182" s="39"/>
      <c r="O182" s="39" t="s">
        <v>70</v>
      </c>
      <c r="P182" s="39"/>
      <c r="Q182" s="40">
        <v>3</v>
      </c>
      <c r="R182" s="40">
        <v>3</v>
      </c>
      <c r="S182" s="40">
        <v>3</v>
      </c>
      <c r="T182" s="40">
        <v>3</v>
      </c>
      <c r="U182" s="40">
        <v>3</v>
      </c>
      <c r="V182" s="40">
        <v>3</v>
      </c>
      <c r="W182" s="40">
        <v>3</v>
      </c>
      <c r="X182" s="40">
        <v>3</v>
      </c>
      <c r="Y182" s="40">
        <v>3</v>
      </c>
      <c r="Z182" s="40">
        <f t="shared" si="10"/>
        <v>3</v>
      </c>
      <c r="AA182" s="41">
        <v>2</v>
      </c>
      <c r="AB182" s="41">
        <v>1</v>
      </c>
      <c r="AC182" s="41">
        <v>2</v>
      </c>
      <c r="AD182" s="41">
        <v>3</v>
      </c>
      <c r="AE182" s="41">
        <v>3</v>
      </c>
      <c r="AF182" s="41">
        <v>3</v>
      </c>
      <c r="AG182" s="41">
        <v>3</v>
      </c>
      <c r="AH182" s="41">
        <v>1</v>
      </c>
      <c r="AI182" s="41">
        <v>3</v>
      </c>
      <c r="AJ182" s="41">
        <f t="shared" si="11"/>
        <v>2.3333333333333335</v>
      </c>
      <c r="AK182" s="40"/>
      <c r="AL182" s="40"/>
      <c r="AM182" s="40"/>
      <c r="AN182" s="40"/>
      <c r="AO182" s="40"/>
      <c r="AP182" s="40"/>
      <c r="AQ182" s="40"/>
      <c r="AR182" s="40"/>
      <c r="AS182" s="40"/>
      <c r="AT182" s="40"/>
      <c r="AU182" s="40"/>
      <c r="AV182" s="40">
        <v>4</v>
      </c>
      <c r="AW182" s="42">
        <v>4</v>
      </c>
      <c r="AX182" s="42">
        <v>4</v>
      </c>
      <c r="AY182" s="42">
        <v>4</v>
      </c>
      <c r="AZ182" s="42"/>
      <c r="BA182" s="42">
        <f t="shared" si="12"/>
        <v>4</v>
      </c>
      <c r="BB182" s="43">
        <v>3</v>
      </c>
      <c r="BC182" s="43"/>
      <c r="BD182" s="44"/>
      <c r="BE182" s="44"/>
      <c r="BF182" s="45">
        <v>4</v>
      </c>
      <c r="BG182" s="45">
        <v>4</v>
      </c>
      <c r="BH182" s="45">
        <v>4</v>
      </c>
      <c r="BI182" s="45">
        <f t="shared" si="9"/>
        <v>3.75</v>
      </c>
    </row>
    <row r="183" spans="1:61" ht="16.5" customHeight="1">
      <c r="A183" s="48">
        <v>182</v>
      </c>
      <c r="B183" s="49" t="b">
        <v>0</v>
      </c>
      <c r="C183" s="37" t="s">
        <v>155</v>
      </c>
      <c r="D183" s="37" t="s">
        <v>134</v>
      </c>
      <c r="E183" s="38" t="s">
        <v>72</v>
      </c>
      <c r="F183" s="38" t="s">
        <v>74</v>
      </c>
      <c r="G183" s="38" t="s">
        <v>78</v>
      </c>
      <c r="H183" s="38"/>
      <c r="I183" s="39" t="s">
        <v>65</v>
      </c>
      <c r="J183" s="39" t="s">
        <v>87</v>
      </c>
      <c r="K183" s="39"/>
      <c r="L183" s="39">
        <v>2.5</v>
      </c>
      <c r="M183" s="39"/>
      <c r="N183" s="39"/>
      <c r="O183" s="39" t="s">
        <v>70</v>
      </c>
      <c r="P183" s="39"/>
      <c r="Q183" s="40">
        <v>3</v>
      </c>
      <c r="R183" s="40">
        <v>3</v>
      </c>
      <c r="S183" s="40">
        <v>3</v>
      </c>
      <c r="T183" s="40">
        <v>3</v>
      </c>
      <c r="U183" s="40">
        <v>3</v>
      </c>
      <c r="V183" s="40">
        <v>3</v>
      </c>
      <c r="W183" s="40">
        <v>3</v>
      </c>
      <c r="X183" s="40">
        <v>3</v>
      </c>
      <c r="Y183" s="40">
        <v>3</v>
      </c>
      <c r="Z183" s="40">
        <f t="shared" si="10"/>
        <v>3</v>
      </c>
      <c r="AA183" s="41">
        <v>3</v>
      </c>
      <c r="AB183" s="41">
        <v>1</v>
      </c>
      <c r="AC183" s="41">
        <v>1</v>
      </c>
      <c r="AD183" s="41">
        <v>3</v>
      </c>
      <c r="AE183" s="41">
        <v>3</v>
      </c>
      <c r="AF183" s="41">
        <v>3</v>
      </c>
      <c r="AG183" s="41">
        <v>4</v>
      </c>
      <c r="AH183" s="41">
        <v>3</v>
      </c>
      <c r="AI183" s="41">
        <v>2</v>
      </c>
      <c r="AJ183" s="41">
        <f t="shared" si="11"/>
        <v>2.5555555555555554</v>
      </c>
      <c r="AK183" s="40"/>
      <c r="AL183" s="40"/>
      <c r="AM183" s="40"/>
      <c r="AN183" s="40"/>
      <c r="AO183" s="40"/>
      <c r="AP183" s="40"/>
      <c r="AQ183" s="40"/>
      <c r="AR183" s="40"/>
      <c r="AS183" s="40"/>
      <c r="AT183" s="40"/>
      <c r="AU183" s="40"/>
      <c r="AV183" s="40">
        <v>4</v>
      </c>
      <c r="AW183" s="42">
        <v>3</v>
      </c>
      <c r="AX183" s="42">
        <v>3</v>
      </c>
      <c r="AY183" s="42">
        <v>3</v>
      </c>
      <c r="AZ183" s="42"/>
      <c r="BA183" s="42">
        <f t="shared" si="12"/>
        <v>3</v>
      </c>
      <c r="BB183" s="43">
        <v>3</v>
      </c>
      <c r="BC183" s="43"/>
      <c r="BD183" s="44"/>
      <c r="BE183" s="44"/>
      <c r="BF183" s="45">
        <v>4</v>
      </c>
      <c r="BG183" s="45">
        <v>4</v>
      </c>
      <c r="BH183" s="45">
        <v>4</v>
      </c>
      <c r="BI183" s="45">
        <f t="shared" si="9"/>
        <v>3.75</v>
      </c>
    </row>
    <row r="184" spans="1:61" ht="16.5" customHeight="1">
      <c r="A184" s="48">
        <v>183</v>
      </c>
      <c r="B184" s="49" t="b">
        <v>0</v>
      </c>
      <c r="C184" s="37" t="s">
        <v>155</v>
      </c>
      <c r="D184" s="37" t="s">
        <v>182</v>
      </c>
      <c r="E184" s="38" t="s">
        <v>72</v>
      </c>
      <c r="F184" s="38" t="s">
        <v>78</v>
      </c>
      <c r="G184" s="38" t="s">
        <v>78</v>
      </c>
      <c r="H184" s="38"/>
      <c r="I184" s="39" t="s">
        <v>65</v>
      </c>
      <c r="J184" s="39" t="s">
        <v>83</v>
      </c>
      <c r="K184" s="39"/>
      <c r="L184" s="39">
        <v>2.5</v>
      </c>
      <c r="M184" s="39"/>
      <c r="N184" s="39"/>
      <c r="O184" s="39" t="s">
        <v>70</v>
      </c>
      <c r="P184" s="39"/>
      <c r="Q184" s="40">
        <v>3</v>
      </c>
      <c r="R184" s="40">
        <v>3</v>
      </c>
      <c r="S184" s="40">
        <v>3</v>
      </c>
      <c r="T184" s="40">
        <v>3</v>
      </c>
      <c r="U184" s="40">
        <v>3</v>
      </c>
      <c r="V184" s="40">
        <v>3</v>
      </c>
      <c r="W184" s="40">
        <v>3</v>
      </c>
      <c r="X184" s="40">
        <v>3</v>
      </c>
      <c r="Y184" s="40">
        <v>3</v>
      </c>
      <c r="Z184" s="40">
        <f t="shared" si="10"/>
        <v>3</v>
      </c>
      <c r="AA184" s="41">
        <v>1</v>
      </c>
      <c r="AB184" s="41">
        <v>1</v>
      </c>
      <c r="AC184" s="41">
        <v>1</v>
      </c>
      <c r="AD184" s="41">
        <v>3</v>
      </c>
      <c r="AE184" s="41">
        <v>2</v>
      </c>
      <c r="AF184" s="41">
        <v>1</v>
      </c>
      <c r="AG184" s="41">
        <v>2</v>
      </c>
      <c r="AH184" s="41">
        <v>1</v>
      </c>
      <c r="AI184" s="41">
        <v>1</v>
      </c>
      <c r="AJ184" s="41">
        <f t="shared" si="11"/>
        <v>1.4444444444444444</v>
      </c>
      <c r="AK184" s="40"/>
      <c r="AL184" s="40"/>
      <c r="AM184" s="40"/>
      <c r="AN184" s="40"/>
      <c r="AO184" s="40"/>
      <c r="AP184" s="40"/>
      <c r="AQ184" s="40"/>
      <c r="AR184" s="40"/>
      <c r="AS184" s="40"/>
      <c r="AT184" s="40"/>
      <c r="AU184" s="40"/>
      <c r="AV184" s="40">
        <v>2</v>
      </c>
      <c r="AW184" s="42">
        <v>4</v>
      </c>
      <c r="AX184" s="42">
        <v>4</v>
      </c>
      <c r="AY184" s="42">
        <v>4</v>
      </c>
      <c r="AZ184" s="42"/>
      <c r="BA184" s="42">
        <f t="shared" si="12"/>
        <v>4</v>
      </c>
      <c r="BB184" s="43">
        <v>4</v>
      </c>
      <c r="BC184" s="43"/>
      <c r="BD184" s="44"/>
      <c r="BE184" s="44"/>
      <c r="BF184" s="45">
        <v>4</v>
      </c>
      <c r="BG184" s="45">
        <v>4</v>
      </c>
      <c r="BH184" s="45">
        <v>4</v>
      </c>
      <c r="BI184" s="45">
        <f t="shared" si="9"/>
        <v>4</v>
      </c>
    </row>
    <row r="185" spans="1:61" ht="16.5" customHeight="1">
      <c r="A185" s="48">
        <v>184</v>
      </c>
      <c r="B185" s="49" t="b">
        <v>0</v>
      </c>
      <c r="C185" s="37" t="s">
        <v>151</v>
      </c>
      <c r="D185" s="37" t="s">
        <v>98</v>
      </c>
      <c r="E185" s="38" t="s">
        <v>72</v>
      </c>
      <c r="F185" s="38" t="s">
        <v>105</v>
      </c>
      <c r="G185" s="38" t="s">
        <v>78</v>
      </c>
      <c r="H185" s="38"/>
      <c r="I185" s="39" t="s">
        <v>65</v>
      </c>
      <c r="J185" s="39" t="s">
        <v>87</v>
      </c>
      <c r="K185" s="39" t="s">
        <v>65</v>
      </c>
      <c r="L185" s="39">
        <v>3</v>
      </c>
      <c r="M185" s="39"/>
      <c r="N185" s="39"/>
      <c r="O185" s="39" t="s">
        <v>70</v>
      </c>
      <c r="P185" s="39"/>
      <c r="Q185" s="40">
        <v>3</v>
      </c>
      <c r="R185" s="40">
        <v>3</v>
      </c>
      <c r="S185" s="40">
        <v>3</v>
      </c>
      <c r="T185" s="40">
        <v>1</v>
      </c>
      <c r="U185" s="40">
        <v>1</v>
      </c>
      <c r="V185" s="40">
        <v>3</v>
      </c>
      <c r="W185" s="40">
        <v>3</v>
      </c>
      <c r="X185" s="40">
        <v>3</v>
      </c>
      <c r="Y185" s="40">
        <v>2</v>
      </c>
      <c r="Z185" s="40">
        <f t="shared" si="10"/>
        <v>2.4444444444444446</v>
      </c>
      <c r="AA185" s="41">
        <v>4</v>
      </c>
      <c r="AB185" s="41">
        <v>4</v>
      </c>
      <c r="AC185" s="41">
        <v>4</v>
      </c>
      <c r="AD185" s="41">
        <v>1</v>
      </c>
      <c r="AE185" s="41">
        <v>1</v>
      </c>
      <c r="AF185" s="41">
        <v>4</v>
      </c>
      <c r="AG185" s="41">
        <v>4</v>
      </c>
      <c r="AH185" s="41">
        <v>4</v>
      </c>
      <c r="AI185" s="41">
        <v>4</v>
      </c>
      <c r="AJ185" s="41">
        <f t="shared" si="11"/>
        <v>3.3333333333333335</v>
      </c>
      <c r="AK185" s="40"/>
      <c r="AL185" s="40"/>
      <c r="AM185" s="40"/>
      <c r="AN185" s="40"/>
      <c r="AO185" s="40"/>
      <c r="AP185" s="40"/>
      <c r="AQ185" s="40"/>
      <c r="AR185" s="40"/>
      <c r="AS185" s="40"/>
      <c r="AT185" s="40"/>
      <c r="AU185" s="40"/>
      <c r="AV185" s="40">
        <v>4</v>
      </c>
      <c r="AW185" s="42">
        <v>1</v>
      </c>
      <c r="AX185" s="42">
        <v>1</v>
      </c>
      <c r="AY185" s="42">
        <v>4</v>
      </c>
      <c r="AZ185" s="42"/>
      <c r="BA185" s="42">
        <f t="shared" si="12"/>
        <v>2</v>
      </c>
      <c r="BB185" s="43">
        <v>4</v>
      </c>
      <c r="BC185" s="43"/>
      <c r="BD185" s="44"/>
      <c r="BE185" s="44"/>
      <c r="BF185" s="45">
        <v>4</v>
      </c>
      <c r="BG185" s="45">
        <v>4</v>
      </c>
      <c r="BH185" s="45">
        <v>4</v>
      </c>
      <c r="BI185" s="45">
        <f t="shared" si="9"/>
        <v>4</v>
      </c>
    </row>
    <row r="186" spans="1:61" ht="16.5" customHeight="1">
      <c r="A186" s="48">
        <v>185</v>
      </c>
      <c r="B186" s="49" t="b">
        <v>0</v>
      </c>
      <c r="C186" s="37" t="s">
        <v>95</v>
      </c>
      <c r="D186" s="37"/>
      <c r="E186" s="38" t="s">
        <v>188</v>
      </c>
      <c r="F186" s="54" t="s">
        <v>68</v>
      </c>
      <c r="G186" s="54" t="s">
        <v>64</v>
      </c>
      <c r="H186" s="54"/>
      <c r="I186" s="39" t="s">
        <v>65</v>
      </c>
      <c r="J186" s="39" t="s">
        <v>65</v>
      </c>
      <c r="K186" s="55"/>
      <c r="L186" s="39">
        <v>2.5</v>
      </c>
      <c r="M186" s="55"/>
      <c r="N186" s="55"/>
      <c r="O186" s="55" t="s">
        <v>70</v>
      </c>
      <c r="P186" s="55"/>
      <c r="Q186" s="40">
        <v>3</v>
      </c>
      <c r="R186" s="40">
        <v>3</v>
      </c>
      <c r="S186" s="40">
        <v>3</v>
      </c>
      <c r="T186" s="40">
        <v>3</v>
      </c>
      <c r="U186" s="40">
        <v>2</v>
      </c>
      <c r="V186" s="40">
        <v>3</v>
      </c>
      <c r="W186" s="40">
        <v>3</v>
      </c>
      <c r="X186" s="40">
        <v>2</v>
      </c>
      <c r="Y186" s="40">
        <v>2</v>
      </c>
      <c r="Z186" s="40">
        <f t="shared" si="10"/>
        <v>2.6666666666666665</v>
      </c>
      <c r="AA186" s="41">
        <v>1</v>
      </c>
      <c r="AB186" s="41">
        <v>1</v>
      </c>
      <c r="AC186" s="41">
        <v>1</v>
      </c>
      <c r="AD186" s="41">
        <v>2</v>
      </c>
      <c r="AE186" s="41">
        <v>2</v>
      </c>
      <c r="AF186" s="41">
        <v>1</v>
      </c>
      <c r="AG186" s="41">
        <v>1</v>
      </c>
      <c r="AH186" s="41"/>
      <c r="AI186" s="41">
        <v>2</v>
      </c>
      <c r="AJ186" s="41">
        <f t="shared" si="11"/>
        <v>1.375</v>
      </c>
      <c r="AK186" s="40">
        <v>4</v>
      </c>
      <c r="AL186" s="40">
        <v>4</v>
      </c>
      <c r="AM186" s="40">
        <v>4</v>
      </c>
      <c r="AN186" s="40">
        <v>4</v>
      </c>
      <c r="AO186" s="40">
        <v>4</v>
      </c>
      <c r="AP186" s="40">
        <v>4</v>
      </c>
      <c r="AQ186" s="40">
        <v>4</v>
      </c>
      <c r="AR186" s="40">
        <v>3</v>
      </c>
      <c r="AS186" s="40">
        <v>4</v>
      </c>
      <c r="AT186" s="40"/>
      <c r="AU186" s="40"/>
      <c r="AV186" s="40">
        <f t="shared" ref="AV186:AV203" si="13">AVERAGE(AK186:AS186)</f>
        <v>3.8888888888888888</v>
      </c>
      <c r="AW186" s="42">
        <v>3</v>
      </c>
      <c r="AX186" s="42">
        <v>2</v>
      </c>
      <c r="AY186" s="42">
        <v>3</v>
      </c>
      <c r="AZ186" s="42"/>
      <c r="BA186" s="42">
        <f t="shared" si="12"/>
        <v>2.6666666666666665</v>
      </c>
      <c r="BB186" s="43">
        <v>1</v>
      </c>
      <c r="BC186" s="43"/>
      <c r="BD186" s="44"/>
      <c r="BE186" s="44"/>
      <c r="BF186" s="45">
        <v>1</v>
      </c>
      <c r="BG186" s="45">
        <v>2</v>
      </c>
      <c r="BH186" s="45">
        <v>2</v>
      </c>
      <c r="BI186" s="45">
        <f t="shared" si="9"/>
        <v>1.5</v>
      </c>
    </row>
    <row r="187" spans="1:61" ht="16.5" customHeight="1">
      <c r="A187" s="48">
        <v>186</v>
      </c>
      <c r="B187" s="49" t="b">
        <v>0</v>
      </c>
      <c r="C187" s="37" t="s">
        <v>95</v>
      </c>
      <c r="D187" s="37" t="s">
        <v>189</v>
      </c>
      <c r="E187" s="38" t="s">
        <v>190</v>
      </c>
      <c r="F187" s="54" t="s">
        <v>105</v>
      </c>
      <c r="G187" s="54" t="s">
        <v>78</v>
      </c>
      <c r="H187" s="54"/>
      <c r="I187" s="39" t="s">
        <v>65</v>
      </c>
      <c r="J187" s="39" t="s">
        <v>65</v>
      </c>
      <c r="K187" s="55"/>
      <c r="L187" s="39">
        <v>2.5</v>
      </c>
      <c r="M187" s="55"/>
      <c r="N187" s="55"/>
      <c r="O187" s="55" t="s">
        <v>70</v>
      </c>
      <c r="P187" s="55"/>
      <c r="Q187" s="40">
        <v>4</v>
      </c>
      <c r="R187" s="40">
        <v>4</v>
      </c>
      <c r="S187" s="40">
        <v>3</v>
      </c>
      <c r="T187" s="40">
        <v>4</v>
      </c>
      <c r="U187" s="40">
        <v>4</v>
      </c>
      <c r="V187" s="40">
        <v>4</v>
      </c>
      <c r="W187" s="40">
        <v>2</v>
      </c>
      <c r="X187" s="40">
        <v>2</v>
      </c>
      <c r="Y187" s="40">
        <v>3</v>
      </c>
      <c r="Z187" s="40">
        <f t="shared" si="10"/>
        <v>3.3333333333333335</v>
      </c>
      <c r="AA187" s="41">
        <v>4</v>
      </c>
      <c r="AB187" s="41">
        <v>4</v>
      </c>
      <c r="AC187" s="41">
        <v>4</v>
      </c>
      <c r="AD187" s="41">
        <v>4</v>
      </c>
      <c r="AE187" s="41">
        <v>4</v>
      </c>
      <c r="AF187" s="41">
        <v>4</v>
      </c>
      <c r="AG187" s="41">
        <v>4</v>
      </c>
      <c r="AH187" s="41">
        <v>4</v>
      </c>
      <c r="AI187" s="41">
        <v>2</v>
      </c>
      <c r="AJ187" s="41">
        <f t="shared" si="11"/>
        <v>3.7777777777777777</v>
      </c>
      <c r="AK187" s="40">
        <v>4</v>
      </c>
      <c r="AL187" s="40">
        <v>4</v>
      </c>
      <c r="AM187" s="40">
        <v>4</v>
      </c>
      <c r="AN187" s="40">
        <v>4</v>
      </c>
      <c r="AO187" s="40">
        <v>4</v>
      </c>
      <c r="AP187" s="40">
        <v>4</v>
      </c>
      <c r="AQ187" s="40">
        <v>4</v>
      </c>
      <c r="AR187" s="40">
        <v>4</v>
      </c>
      <c r="AS187" s="40">
        <v>4</v>
      </c>
      <c r="AT187" s="40"/>
      <c r="AU187" s="40"/>
      <c r="AV187" s="40">
        <f t="shared" si="13"/>
        <v>4</v>
      </c>
      <c r="AW187" s="42">
        <v>4</v>
      </c>
      <c r="AX187" s="42">
        <v>4</v>
      </c>
      <c r="AY187" s="42">
        <v>4</v>
      </c>
      <c r="AZ187" s="42"/>
      <c r="BA187" s="42">
        <f t="shared" si="12"/>
        <v>4</v>
      </c>
      <c r="BB187" s="43">
        <v>2</v>
      </c>
      <c r="BC187" s="43"/>
      <c r="BD187" s="44"/>
      <c r="BE187" s="44"/>
      <c r="BF187" s="45">
        <v>4</v>
      </c>
      <c r="BG187" s="45"/>
      <c r="BH187" s="45">
        <v>4</v>
      </c>
      <c r="BI187" s="45">
        <f t="shared" si="9"/>
        <v>3.3333333333333335</v>
      </c>
    </row>
    <row r="188" spans="1:61" ht="16.5" customHeight="1">
      <c r="A188" s="48">
        <v>187</v>
      </c>
      <c r="B188" s="49" t="b">
        <v>0</v>
      </c>
      <c r="C188" s="37" t="s">
        <v>95</v>
      </c>
      <c r="D188" s="37" t="s">
        <v>189</v>
      </c>
      <c r="E188" s="38" t="s">
        <v>72</v>
      </c>
      <c r="F188" s="54" t="s">
        <v>63</v>
      </c>
      <c r="G188" s="54" t="s">
        <v>78</v>
      </c>
      <c r="H188" s="54"/>
      <c r="I188" s="39" t="s">
        <v>65</v>
      </c>
      <c r="J188" s="39" t="s">
        <v>65</v>
      </c>
      <c r="K188" s="55"/>
      <c r="L188" s="39">
        <v>2.5</v>
      </c>
      <c r="M188" s="55"/>
      <c r="N188" s="55"/>
      <c r="O188" s="55" t="s">
        <v>70</v>
      </c>
      <c r="P188" s="55"/>
      <c r="Q188" s="40">
        <v>4</v>
      </c>
      <c r="R188" s="40">
        <v>4</v>
      </c>
      <c r="S188" s="40">
        <v>4</v>
      </c>
      <c r="T188" s="40">
        <v>4</v>
      </c>
      <c r="U188" s="40">
        <v>4</v>
      </c>
      <c r="V188" s="40">
        <v>4</v>
      </c>
      <c r="W188" s="40">
        <v>2</v>
      </c>
      <c r="X188" s="40">
        <v>2</v>
      </c>
      <c r="Y188" s="40">
        <v>2</v>
      </c>
      <c r="Z188" s="40">
        <f t="shared" si="10"/>
        <v>3.3333333333333335</v>
      </c>
      <c r="AA188" s="41">
        <v>3</v>
      </c>
      <c r="AB188" s="41">
        <v>3</v>
      </c>
      <c r="AC188" s="41">
        <v>2</v>
      </c>
      <c r="AD188" s="41">
        <v>4</v>
      </c>
      <c r="AE188" s="41">
        <v>4</v>
      </c>
      <c r="AF188" s="41">
        <v>4</v>
      </c>
      <c r="AG188" s="41">
        <v>1</v>
      </c>
      <c r="AH188" s="41">
        <v>1</v>
      </c>
      <c r="AI188" s="41">
        <v>1</v>
      </c>
      <c r="AJ188" s="41">
        <f t="shared" si="11"/>
        <v>2.5555555555555554</v>
      </c>
      <c r="AK188" s="40">
        <v>4</v>
      </c>
      <c r="AL188" s="40">
        <v>4</v>
      </c>
      <c r="AM188" s="40">
        <v>4</v>
      </c>
      <c r="AN188" s="40">
        <v>4</v>
      </c>
      <c r="AO188" s="40">
        <v>4</v>
      </c>
      <c r="AP188" s="40">
        <v>4</v>
      </c>
      <c r="AQ188" s="40">
        <v>4</v>
      </c>
      <c r="AR188" s="40">
        <v>4</v>
      </c>
      <c r="AS188" s="40">
        <v>4</v>
      </c>
      <c r="AT188" s="40"/>
      <c r="AU188" s="40"/>
      <c r="AV188" s="40">
        <f t="shared" si="13"/>
        <v>4</v>
      </c>
      <c r="AW188" s="42">
        <v>4</v>
      </c>
      <c r="AX188" s="42">
        <v>4</v>
      </c>
      <c r="AY188" s="42">
        <v>4</v>
      </c>
      <c r="AZ188" s="42"/>
      <c r="BA188" s="42">
        <f t="shared" si="12"/>
        <v>4</v>
      </c>
      <c r="BB188" s="43">
        <v>4</v>
      </c>
      <c r="BC188" s="43">
        <v>2</v>
      </c>
      <c r="BD188" s="44"/>
      <c r="BE188" s="44"/>
      <c r="BF188" s="45">
        <v>4</v>
      </c>
      <c r="BG188" s="45">
        <v>3</v>
      </c>
      <c r="BH188" s="45">
        <v>3</v>
      </c>
      <c r="BI188" s="45">
        <f t="shared" si="9"/>
        <v>3.2</v>
      </c>
    </row>
    <row r="189" spans="1:61" ht="16.5" customHeight="1">
      <c r="A189" s="48">
        <v>188</v>
      </c>
      <c r="B189" s="49" t="b">
        <v>0</v>
      </c>
      <c r="C189" s="37" t="s">
        <v>95</v>
      </c>
      <c r="D189" s="37" t="s">
        <v>189</v>
      </c>
      <c r="E189" s="38" t="s">
        <v>72</v>
      </c>
      <c r="F189" s="54" t="s">
        <v>78</v>
      </c>
      <c r="G189" s="54" t="s">
        <v>64</v>
      </c>
      <c r="H189" s="54"/>
      <c r="I189" s="39" t="s">
        <v>65</v>
      </c>
      <c r="J189" s="39" t="s">
        <v>65</v>
      </c>
      <c r="K189" s="55"/>
      <c r="L189" s="39">
        <v>2.5</v>
      </c>
      <c r="M189" s="55"/>
      <c r="N189" s="55"/>
      <c r="O189" s="55" t="s">
        <v>70</v>
      </c>
      <c r="P189" s="55"/>
      <c r="Q189" s="40">
        <v>3</v>
      </c>
      <c r="R189" s="40">
        <v>4</v>
      </c>
      <c r="S189" s="40">
        <v>3</v>
      </c>
      <c r="T189" s="40">
        <v>3</v>
      </c>
      <c r="U189" s="40">
        <v>4</v>
      </c>
      <c r="V189" s="40">
        <v>4</v>
      </c>
      <c r="W189" s="40">
        <v>3</v>
      </c>
      <c r="X189" s="40">
        <v>3</v>
      </c>
      <c r="Y189" s="40">
        <v>2</v>
      </c>
      <c r="Z189" s="40">
        <f t="shared" si="10"/>
        <v>3.2222222222222223</v>
      </c>
      <c r="AA189" s="41">
        <v>3</v>
      </c>
      <c r="AB189" s="41">
        <v>1</v>
      </c>
      <c r="AC189" s="41">
        <v>1</v>
      </c>
      <c r="AD189" s="41">
        <v>2</v>
      </c>
      <c r="AE189" s="41">
        <v>2</v>
      </c>
      <c r="AF189" s="41">
        <v>4</v>
      </c>
      <c r="AG189" s="41">
        <v>4</v>
      </c>
      <c r="AH189" s="41">
        <v>2</v>
      </c>
      <c r="AI189" s="41">
        <v>3</v>
      </c>
      <c r="AJ189" s="41">
        <f t="shared" si="11"/>
        <v>2.4444444444444446</v>
      </c>
      <c r="AK189" s="40">
        <v>4</v>
      </c>
      <c r="AL189" s="40">
        <v>1</v>
      </c>
      <c r="AM189" s="40"/>
      <c r="AN189" s="40">
        <v>4</v>
      </c>
      <c r="AO189" s="40">
        <v>4</v>
      </c>
      <c r="AP189" s="40">
        <v>4</v>
      </c>
      <c r="AQ189" s="40">
        <v>4</v>
      </c>
      <c r="AR189" s="40">
        <v>4</v>
      </c>
      <c r="AS189" s="40">
        <v>4</v>
      </c>
      <c r="AT189" s="40"/>
      <c r="AU189" s="40"/>
      <c r="AV189" s="40">
        <f t="shared" si="13"/>
        <v>3.625</v>
      </c>
      <c r="AW189" s="42">
        <v>2</v>
      </c>
      <c r="AX189" s="42">
        <v>3</v>
      </c>
      <c r="AY189" s="42">
        <v>3</v>
      </c>
      <c r="AZ189" s="42"/>
      <c r="BA189" s="42">
        <f t="shared" si="12"/>
        <v>2.6666666666666665</v>
      </c>
      <c r="BB189" s="43">
        <v>3</v>
      </c>
      <c r="BC189" s="43"/>
      <c r="BD189" s="44"/>
      <c r="BE189" s="44"/>
      <c r="BF189" s="45">
        <v>1</v>
      </c>
      <c r="BG189" s="45">
        <v>1</v>
      </c>
      <c r="BH189" s="45">
        <v>3</v>
      </c>
      <c r="BI189" s="45">
        <f t="shared" si="9"/>
        <v>2</v>
      </c>
    </row>
    <row r="190" spans="1:61" ht="16.5" customHeight="1">
      <c r="A190" s="48">
        <v>189</v>
      </c>
      <c r="B190" s="49" t="b">
        <v>0</v>
      </c>
      <c r="C190" s="37" t="s">
        <v>95</v>
      </c>
      <c r="D190" s="37" t="s">
        <v>189</v>
      </c>
      <c r="E190" s="38" t="s">
        <v>72</v>
      </c>
      <c r="F190" s="54" t="s">
        <v>78</v>
      </c>
      <c r="G190" s="54" t="s">
        <v>78</v>
      </c>
      <c r="H190" s="54"/>
      <c r="I190" s="39" t="s">
        <v>65</v>
      </c>
      <c r="J190" s="39" t="s">
        <v>65</v>
      </c>
      <c r="K190" s="55"/>
      <c r="L190" s="39">
        <v>2.5</v>
      </c>
      <c r="M190" s="55"/>
      <c r="N190" s="55"/>
      <c r="O190" s="55" t="s">
        <v>70</v>
      </c>
      <c r="P190" s="55"/>
      <c r="Q190" s="40">
        <v>4</v>
      </c>
      <c r="R190" s="40">
        <v>4</v>
      </c>
      <c r="S190" s="40">
        <v>4</v>
      </c>
      <c r="T190" s="40">
        <v>5</v>
      </c>
      <c r="U190" s="40">
        <v>5</v>
      </c>
      <c r="V190" s="40">
        <v>4</v>
      </c>
      <c r="W190" s="40">
        <v>4</v>
      </c>
      <c r="X190" s="40">
        <v>1</v>
      </c>
      <c r="Y190" s="40">
        <v>1</v>
      </c>
      <c r="Z190" s="40">
        <f t="shared" si="10"/>
        <v>3.5555555555555554</v>
      </c>
      <c r="AA190" s="41">
        <v>3</v>
      </c>
      <c r="AB190" s="41">
        <v>1</v>
      </c>
      <c r="AC190" s="41">
        <v>5</v>
      </c>
      <c r="AD190" s="41">
        <v>4</v>
      </c>
      <c r="AE190" s="41">
        <v>3</v>
      </c>
      <c r="AF190" s="41">
        <v>5</v>
      </c>
      <c r="AG190" s="41">
        <v>5</v>
      </c>
      <c r="AH190" s="41">
        <v>5</v>
      </c>
      <c r="AI190" s="41">
        <v>1</v>
      </c>
      <c r="AJ190" s="41">
        <f t="shared" si="11"/>
        <v>3.5555555555555554</v>
      </c>
      <c r="AK190" s="40">
        <v>1</v>
      </c>
      <c r="AL190" s="40">
        <v>1</v>
      </c>
      <c r="AM190" s="40">
        <v>3</v>
      </c>
      <c r="AN190" s="40">
        <v>2</v>
      </c>
      <c r="AO190" s="40">
        <v>2</v>
      </c>
      <c r="AP190" s="40">
        <v>5</v>
      </c>
      <c r="AQ190" s="40">
        <v>1</v>
      </c>
      <c r="AR190" s="40">
        <v>1</v>
      </c>
      <c r="AS190" s="40">
        <v>1</v>
      </c>
      <c r="AT190" s="40"/>
      <c r="AU190" s="40"/>
      <c r="AV190" s="40">
        <f t="shared" si="13"/>
        <v>1.8888888888888888</v>
      </c>
      <c r="AW190" s="42">
        <v>5</v>
      </c>
      <c r="AX190" s="42">
        <v>5</v>
      </c>
      <c r="AY190" s="42">
        <v>5</v>
      </c>
      <c r="AZ190" s="42"/>
      <c r="BA190" s="42">
        <f t="shared" si="12"/>
        <v>5</v>
      </c>
      <c r="BB190" s="43">
        <v>2</v>
      </c>
      <c r="BC190" s="43"/>
      <c r="BD190" s="44"/>
      <c r="BE190" s="44"/>
      <c r="BF190" s="45">
        <v>5</v>
      </c>
      <c r="BG190" s="45"/>
      <c r="BH190" s="45">
        <v>5</v>
      </c>
      <c r="BI190" s="45">
        <f t="shared" si="9"/>
        <v>4</v>
      </c>
    </row>
    <row r="191" spans="1:61" ht="16.5" customHeight="1">
      <c r="A191" s="48">
        <v>190</v>
      </c>
      <c r="B191" s="49" t="b">
        <v>0</v>
      </c>
      <c r="C191" s="37" t="s">
        <v>95</v>
      </c>
      <c r="D191" s="37" t="s">
        <v>189</v>
      </c>
      <c r="E191" s="38" t="s">
        <v>72</v>
      </c>
      <c r="F191" s="54" t="s">
        <v>68</v>
      </c>
      <c r="G191" s="54" t="s">
        <v>78</v>
      </c>
      <c r="H191" s="54"/>
      <c r="I191" s="39" t="s">
        <v>65</v>
      </c>
      <c r="J191" s="39" t="s">
        <v>65</v>
      </c>
      <c r="K191" s="55"/>
      <c r="L191" s="39">
        <v>2.5</v>
      </c>
      <c r="M191" s="55"/>
      <c r="N191" s="55"/>
      <c r="O191" s="55" t="s">
        <v>70</v>
      </c>
      <c r="P191" s="55"/>
      <c r="Q191" s="40">
        <v>5</v>
      </c>
      <c r="R191" s="40">
        <v>5</v>
      </c>
      <c r="S191" s="40">
        <v>5</v>
      </c>
      <c r="T191" s="40">
        <v>5</v>
      </c>
      <c r="U191" s="40">
        <v>5</v>
      </c>
      <c r="V191" s="40">
        <v>5</v>
      </c>
      <c r="W191" s="40">
        <v>5</v>
      </c>
      <c r="X191" s="40">
        <v>5</v>
      </c>
      <c r="Y191" s="40">
        <v>5</v>
      </c>
      <c r="Z191" s="40">
        <f t="shared" si="10"/>
        <v>5</v>
      </c>
      <c r="AA191" s="41">
        <v>1</v>
      </c>
      <c r="AB191" s="41">
        <v>1</v>
      </c>
      <c r="AC191" s="41">
        <v>1</v>
      </c>
      <c r="AD191" s="41">
        <v>1</v>
      </c>
      <c r="AE191" s="41">
        <v>1</v>
      </c>
      <c r="AF191" s="41">
        <v>1</v>
      </c>
      <c r="AG191" s="41">
        <v>1</v>
      </c>
      <c r="AH191" s="41">
        <v>1</v>
      </c>
      <c r="AI191" s="41">
        <v>1</v>
      </c>
      <c r="AJ191" s="41">
        <f t="shared" si="11"/>
        <v>1</v>
      </c>
      <c r="AK191" s="40">
        <v>5</v>
      </c>
      <c r="AL191" s="40">
        <v>5</v>
      </c>
      <c r="AM191" s="40">
        <v>5</v>
      </c>
      <c r="AN191" s="40">
        <v>5</v>
      </c>
      <c r="AO191" s="40">
        <v>5</v>
      </c>
      <c r="AP191" s="40">
        <v>5</v>
      </c>
      <c r="AQ191" s="40">
        <v>5</v>
      </c>
      <c r="AR191" s="40">
        <v>5</v>
      </c>
      <c r="AS191" s="40">
        <v>5</v>
      </c>
      <c r="AT191" s="40"/>
      <c r="AU191" s="40"/>
      <c r="AV191" s="40">
        <f t="shared" si="13"/>
        <v>5</v>
      </c>
      <c r="AW191" s="42">
        <v>4</v>
      </c>
      <c r="AX191" s="42">
        <v>4</v>
      </c>
      <c r="AY191" s="42">
        <v>4</v>
      </c>
      <c r="AZ191" s="42"/>
      <c r="BA191" s="42">
        <f t="shared" si="12"/>
        <v>4</v>
      </c>
      <c r="BB191" s="43">
        <v>3</v>
      </c>
      <c r="BC191" s="43"/>
      <c r="BD191" s="44"/>
      <c r="BE191" s="44"/>
      <c r="BF191" s="45">
        <v>5</v>
      </c>
      <c r="BG191" s="45">
        <v>5</v>
      </c>
      <c r="BH191" s="45">
        <v>5</v>
      </c>
      <c r="BI191" s="45">
        <f t="shared" si="9"/>
        <v>4.5</v>
      </c>
    </row>
    <row r="192" spans="1:61" ht="16.5" customHeight="1">
      <c r="A192" s="48">
        <v>191</v>
      </c>
      <c r="B192" s="49" t="b">
        <v>0</v>
      </c>
      <c r="C192" s="37" t="s">
        <v>95</v>
      </c>
      <c r="D192" s="37" t="s">
        <v>189</v>
      </c>
      <c r="E192" s="38" t="s">
        <v>191</v>
      </c>
      <c r="F192" s="54" t="s">
        <v>68</v>
      </c>
      <c r="G192" s="54"/>
      <c r="H192" s="54"/>
      <c r="I192" s="39" t="s">
        <v>65</v>
      </c>
      <c r="J192" s="39" t="s">
        <v>65</v>
      </c>
      <c r="K192" s="55"/>
      <c r="L192" s="39">
        <v>2.5</v>
      </c>
      <c r="M192" s="55"/>
      <c r="N192" s="55"/>
      <c r="O192" s="55" t="s">
        <v>70</v>
      </c>
      <c r="P192" s="55"/>
      <c r="Q192" s="40">
        <v>4</v>
      </c>
      <c r="R192" s="40">
        <v>5</v>
      </c>
      <c r="S192" s="40">
        <v>4</v>
      </c>
      <c r="T192" s="40">
        <v>4</v>
      </c>
      <c r="U192" s="40">
        <v>4</v>
      </c>
      <c r="V192" s="40"/>
      <c r="W192" s="40">
        <v>4</v>
      </c>
      <c r="X192" s="40">
        <v>4</v>
      </c>
      <c r="Y192" s="40">
        <v>4</v>
      </c>
      <c r="Z192" s="40">
        <f t="shared" si="10"/>
        <v>4.125</v>
      </c>
      <c r="AA192" s="41">
        <v>1</v>
      </c>
      <c r="AB192" s="41">
        <v>1</v>
      </c>
      <c r="AC192" s="41">
        <v>1</v>
      </c>
      <c r="AD192" s="41">
        <v>4</v>
      </c>
      <c r="AE192" s="41">
        <v>3</v>
      </c>
      <c r="AF192" s="41"/>
      <c r="AG192" s="41">
        <v>1</v>
      </c>
      <c r="AH192" s="41">
        <v>1</v>
      </c>
      <c r="AI192" s="41">
        <v>1</v>
      </c>
      <c r="AJ192" s="41">
        <f t="shared" si="11"/>
        <v>1.625</v>
      </c>
      <c r="AK192" s="40">
        <v>5</v>
      </c>
      <c r="AL192" s="40">
        <v>5</v>
      </c>
      <c r="AM192" s="40">
        <v>5</v>
      </c>
      <c r="AN192" s="40">
        <v>5</v>
      </c>
      <c r="AO192" s="40">
        <v>5</v>
      </c>
      <c r="AP192" s="40"/>
      <c r="AQ192" s="40">
        <v>5</v>
      </c>
      <c r="AR192" s="40">
        <v>5</v>
      </c>
      <c r="AS192" s="40">
        <v>5</v>
      </c>
      <c r="AT192" s="40"/>
      <c r="AU192" s="40"/>
      <c r="AV192" s="40">
        <f t="shared" si="13"/>
        <v>5</v>
      </c>
      <c r="AW192" s="42">
        <v>5</v>
      </c>
      <c r="AX192" s="42">
        <v>5</v>
      </c>
      <c r="AY192" s="42"/>
      <c r="AZ192" s="42"/>
      <c r="BA192" s="42">
        <f t="shared" si="12"/>
        <v>5</v>
      </c>
      <c r="BB192" s="43">
        <v>3</v>
      </c>
      <c r="BC192" s="43"/>
      <c r="BD192" s="44"/>
      <c r="BE192" s="44"/>
      <c r="BF192" s="45">
        <v>5</v>
      </c>
      <c r="BG192" s="45"/>
      <c r="BH192" s="45">
        <v>5</v>
      </c>
      <c r="BI192" s="45">
        <f t="shared" si="9"/>
        <v>4.333333333333333</v>
      </c>
    </row>
    <row r="193" spans="1:61" ht="16.5" customHeight="1">
      <c r="A193" s="48">
        <v>192</v>
      </c>
      <c r="B193" s="49" t="b">
        <v>0</v>
      </c>
      <c r="C193" s="37" t="s">
        <v>95</v>
      </c>
      <c r="D193" s="37" t="s">
        <v>189</v>
      </c>
      <c r="E193" s="38" t="s">
        <v>192</v>
      </c>
      <c r="F193" s="54" t="s">
        <v>105</v>
      </c>
      <c r="G193" s="54" t="s">
        <v>78</v>
      </c>
      <c r="H193" s="54"/>
      <c r="I193" s="39" t="s">
        <v>65</v>
      </c>
      <c r="J193" s="39" t="s">
        <v>65</v>
      </c>
      <c r="K193" s="55"/>
      <c r="L193" s="39">
        <v>2.5</v>
      </c>
      <c r="M193" s="55"/>
      <c r="N193" s="55"/>
      <c r="O193" s="55" t="s">
        <v>70</v>
      </c>
      <c r="P193" s="55"/>
      <c r="Q193" s="40">
        <v>1</v>
      </c>
      <c r="R193" s="40">
        <v>5</v>
      </c>
      <c r="S193" s="40">
        <v>5</v>
      </c>
      <c r="T193" s="40">
        <v>5</v>
      </c>
      <c r="U193" s="40">
        <v>3</v>
      </c>
      <c r="V193" s="40">
        <v>5</v>
      </c>
      <c r="W193" s="40">
        <v>3</v>
      </c>
      <c r="X193" s="40">
        <v>1</v>
      </c>
      <c r="Y193" s="40">
        <v>3</v>
      </c>
      <c r="Z193" s="40">
        <f t="shared" si="10"/>
        <v>3.4444444444444446</v>
      </c>
      <c r="AA193" s="41">
        <v>1</v>
      </c>
      <c r="AB193" s="41">
        <v>1</v>
      </c>
      <c r="AC193" s="41">
        <v>1</v>
      </c>
      <c r="AD193" s="41">
        <v>1</v>
      </c>
      <c r="AE193" s="41">
        <v>1</v>
      </c>
      <c r="AF193" s="41">
        <v>1</v>
      </c>
      <c r="AG193" s="41">
        <v>1</v>
      </c>
      <c r="AH193" s="41">
        <v>1</v>
      </c>
      <c r="AI193" s="41">
        <v>1</v>
      </c>
      <c r="AJ193" s="41">
        <f t="shared" si="11"/>
        <v>1</v>
      </c>
      <c r="AK193" s="40">
        <v>1</v>
      </c>
      <c r="AL193" s="40">
        <v>1</v>
      </c>
      <c r="AM193" s="40">
        <v>1</v>
      </c>
      <c r="AN193" s="40">
        <v>2</v>
      </c>
      <c r="AO193" s="40">
        <v>2</v>
      </c>
      <c r="AP193" s="40">
        <v>3</v>
      </c>
      <c r="AQ193" s="40">
        <v>1</v>
      </c>
      <c r="AR193" s="40">
        <v>1</v>
      </c>
      <c r="AS193" s="40">
        <v>1</v>
      </c>
      <c r="AT193" s="40"/>
      <c r="AU193" s="40"/>
      <c r="AV193" s="40">
        <f t="shared" si="13"/>
        <v>1.4444444444444444</v>
      </c>
      <c r="AW193" s="42">
        <v>3</v>
      </c>
      <c r="AX193" s="42">
        <v>3</v>
      </c>
      <c r="AY193" s="42">
        <v>3</v>
      </c>
      <c r="AZ193" s="42"/>
      <c r="BA193" s="42">
        <f t="shared" si="12"/>
        <v>3</v>
      </c>
      <c r="BB193" s="43">
        <v>3</v>
      </c>
      <c r="BC193" s="43">
        <v>3</v>
      </c>
      <c r="BD193" s="44">
        <v>4</v>
      </c>
      <c r="BE193" s="44"/>
      <c r="BF193" s="45">
        <v>3</v>
      </c>
      <c r="BG193" s="45">
        <v>3</v>
      </c>
      <c r="BH193" s="45">
        <v>1</v>
      </c>
      <c r="BI193" s="45">
        <f t="shared" si="9"/>
        <v>2.8333333333333335</v>
      </c>
    </row>
    <row r="194" spans="1:61" ht="16.5" customHeight="1">
      <c r="A194" s="48">
        <v>193</v>
      </c>
      <c r="B194" s="49" t="b">
        <v>0</v>
      </c>
      <c r="C194" s="37" t="s">
        <v>95</v>
      </c>
      <c r="D194" s="37" t="s">
        <v>189</v>
      </c>
      <c r="E194" s="38" t="s">
        <v>193</v>
      </c>
      <c r="F194" s="54" t="s">
        <v>113</v>
      </c>
      <c r="G194" s="54" t="s">
        <v>78</v>
      </c>
      <c r="H194" s="54"/>
      <c r="I194" s="39" t="s">
        <v>65</v>
      </c>
      <c r="J194" s="39" t="s">
        <v>65</v>
      </c>
      <c r="K194" s="55"/>
      <c r="L194" s="39">
        <v>2.5</v>
      </c>
      <c r="M194" s="55"/>
      <c r="N194" s="55"/>
      <c r="O194" s="55" t="s">
        <v>70</v>
      </c>
      <c r="P194" s="55"/>
      <c r="Q194" s="40">
        <v>4</v>
      </c>
      <c r="R194" s="40">
        <v>4</v>
      </c>
      <c r="S194" s="40">
        <v>4</v>
      </c>
      <c r="T194" s="40">
        <v>4</v>
      </c>
      <c r="U194" s="40">
        <v>2</v>
      </c>
      <c r="V194" s="40">
        <v>2</v>
      </c>
      <c r="W194" s="40">
        <v>2</v>
      </c>
      <c r="X194" s="40">
        <v>2</v>
      </c>
      <c r="Y194" s="40">
        <v>2</v>
      </c>
      <c r="Z194" s="40">
        <f t="shared" si="10"/>
        <v>2.8888888888888888</v>
      </c>
      <c r="AA194" s="41">
        <v>1</v>
      </c>
      <c r="AB194" s="41">
        <v>1</v>
      </c>
      <c r="AC194" s="41">
        <v>1</v>
      </c>
      <c r="AD194" s="41">
        <v>1</v>
      </c>
      <c r="AE194" s="41">
        <v>1</v>
      </c>
      <c r="AF194" s="41">
        <v>3</v>
      </c>
      <c r="AG194" s="41">
        <v>1</v>
      </c>
      <c r="AH194" s="41">
        <v>1</v>
      </c>
      <c r="AI194" s="41">
        <v>1</v>
      </c>
      <c r="AJ194" s="41">
        <f t="shared" si="11"/>
        <v>1.2222222222222223</v>
      </c>
      <c r="AK194" s="40">
        <v>4</v>
      </c>
      <c r="AL194" s="40">
        <v>4</v>
      </c>
      <c r="AM194" s="40">
        <v>4</v>
      </c>
      <c r="AN194" s="40">
        <v>4</v>
      </c>
      <c r="AO194" s="40">
        <v>4</v>
      </c>
      <c r="AP194" s="40">
        <v>4</v>
      </c>
      <c r="AQ194" s="40">
        <v>3</v>
      </c>
      <c r="AR194" s="40">
        <v>1</v>
      </c>
      <c r="AS194" s="40">
        <v>1</v>
      </c>
      <c r="AT194" s="40"/>
      <c r="AU194" s="40"/>
      <c r="AV194" s="40">
        <f t="shared" si="13"/>
        <v>3.2222222222222223</v>
      </c>
      <c r="AW194" s="42">
        <v>3</v>
      </c>
      <c r="AX194" s="42">
        <v>3</v>
      </c>
      <c r="AY194" s="42">
        <v>4</v>
      </c>
      <c r="AZ194" s="42"/>
      <c r="BA194" s="42">
        <f t="shared" si="12"/>
        <v>3.3333333333333335</v>
      </c>
      <c r="BB194" s="43">
        <v>3</v>
      </c>
      <c r="BC194" s="43"/>
      <c r="BD194" s="44"/>
      <c r="BE194" s="44"/>
      <c r="BF194" s="45">
        <v>3</v>
      </c>
      <c r="BG194" s="45">
        <v>3</v>
      </c>
      <c r="BH194" s="45">
        <v>3</v>
      </c>
      <c r="BI194" s="45">
        <f t="shared" ref="BI194:BI256" si="14">AVERAGE(BB194:BH194)</f>
        <v>3</v>
      </c>
    </row>
    <row r="195" spans="1:61" ht="16.5" customHeight="1">
      <c r="A195" s="48">
        <v>194</v>
      </c>
      <c r="B195" s="49" t="b">
        <v>0</v>
      </c>
      <c r="C195" s="37" t="s">
        <v>95</v>
      </c>
      <c r="D195" s="37" t="s">
        <v>189</v>
      </c>
      <c r="E195" s="38" t="s">
        <v>194</v>
      </c>
      <c r="F195" s="54" t="s">
        <v>78</v>
      </c>
      <c r="G195" s="54" t="s">
        <v>78</v>
      </c>
      <c r="H195" s="54"/>
      <c r="I195" s="39" t="s">
        <v>65</v>
      </c>
      <c r="J195" s="39" t="s">
        <v>65</v>
      </c>
      <c r="K195" s="55"/>
      <c r="L195" s="39">
        <v>2.5</v>
      </c>
      <c r="M195" s="55"/>
      <c r="N195" s="55"/>
      <c r="O195" s="55" t="s">
        <v>70</v>
      </c>
      <c r="P195" s="55"/>
      <c r="Q195" s="40">
        <v>3</v>
      </c>
      <c r="R195" s="40">
        <v>3</v>
      </c>
      <c r="S195" s="40">
        <v>3</v>
      </c>
      <c r="T195" s="40">
        <v>4</v>
      </c>
      <c r="U195" s="40">
        <v>2</v>
      </c>
      <c r="V195" s="40"/>
      <c r="W195" s="40">
        <v>2</v>
      </c>
      <c r="X195" s="40">
        <v>1</v>
      </c>
      <c r="Y195" s="40">
        <v>2</v>
      </c>
      <c r="Z195" s="40">
        <f t="shared" ref="Z195:Z256" si="15">AVERAGE(Q195:Y195)</f>
        <v>2.5</v>
      </c>
      <c r="AA195" s="41">
        <v>5</v>
      </c>
      <c r="AB195" s="41">
        <v>5</v>
      </c>
      <c r="AC195" s="41">
        <v>5</v>
      </c>
      <c r="AD195" s="41">
        <v>5</v>
      </c>
      <c r="AE195" s="41">
        <v>5</v>
      </c>
      <c r="AF195" s="41"/>
      <c r="AG195" s="41">
        <v>5</v>
      </c>
      <c r="AH195" s="41">
        <v>5</v>
      </c>
      <c r="AI195" s="41">
        <v>5</v>
      </c>
      <c r="AJ195" s="41">
        <f t="shared" ref="AJ195:AJ256" si="16">AVERAGE(AA195:AI195)</f>
        <v>5</v>
      </c>
      <c r="AK195" s="40">
        <v>4</v>
      </c>
      <c r="AL195" s="40">
        <v>4</v>
      </c>
      <c r="AM195" s="40">
        <v>4</v>
      </c>
      <c r="AN195" s="40">
        <v>4</v>
      </c>
      <c r="AO195" s="40">
        <v>4</v>
      </c>
      <c r="AP195" s="40"/>
      <c r="AQ195" s="40">
        <v>4</v>
      </c>
      <c r="AR195" s="40">
        <v>4</v>
      </c>
      <c r="AS195" s="40">
        <v>4</v>
      </c>
      <c r="AT195" s="40"/>
      <c r="AU195" s="40"/>
      <c r="AV195" s="40">
        <f t="shared" si="13"/>
        <v>4</v>
      </c>
      <c r="AW195" s="42">
        <v>4</v>
      </c>
      <c r="AX195" s="42">
        <v>4</v>
      </c>
      <c r="AY195" s="42"/>
      <c r="AZ195" s="42"/>
      <c r="BA195" s="42">
        <f t="shared" ref="BA195:BA256" si="17">AVERAGE(AW195:AY195)</f>
        <v>4</v>
      </c>
      <c r="BB195" s="43">
        <v>4</v>
      </c>
      <c r="BC195" s="43"/>
      <c r="BD195" s="44"/>
      <c r="BE195" s="44"/>
      <c r="BF195" s="45">
        <v>4</v>
      </c>
      <c r="BG195" s="45">
        <v>4</v>
      </c>
      <c r="BH195" s="45">
        <v>4</v>
      </c>
      <c r="BI195" s="45">
        <f t="shared" si="14"/>
        <v>4</v>
      </c>
    </row>
    <row r="196" spans="1:61" ht="16.5" customHeight="1">
      <c r="A196" s="48">
        <v>195</v>
      </c>
      <c r="B196" s="49" t="b">
        <v>0</v>
      </c>
      <c r="C196" s="37" t="s">
        <v>95</v>
      </c>
      <c r="D196" s="37" t="s">
        <v>189</v>
      </c>
      <c r="E196" s="38" t="s">
        <v>195</v>
      </c>
      <c r="F196" s="54" t="s">
        <v>63</v>
      </c>
      <c r="G196" s="54" t="s">
        <v>64</v>
      </c>
      <c r="H196" s="54"/>
      <c r="I196" s="39" t="s">
        <v>65</v>
      </c>
      <c r="J196" s="39" t="s">
        <v>65</v>
      </c>
      <c r="K196" s="55"/>
      <c r="L196" s="39">
        <v>2.5</v>
      </c>
      <c r="M196" s="55"/>
      <c r="N196" s="55"/>
      <c r="O196" s="55" t="s">
        <v>70</v>
      </c>
      <c r="P196" s="55"/>
      <c r="Q196" s="40">
        <v>5</v>
      </c>
      <c r="R196" s="40">
        <v>5</v>
      </c>
      <c r="S196" s="40">
        <v>5</v>
      </c>
      <c r="T196" s="40">
        <v>5</v>
      </c>
      <c r="U196" s="40">
        <v>5</v>
      </c>
      <c r="V196" s="40">
        <v>5</v>
      </c>
      <c r="W196" s="40">
        <v>5</v>
      </c>
      <c r="X196" s="40">
        <v>5</v>
      </c>
      <c r="Y196" s="40">
        <v>5</v>
      </c>
      <c r="Z196" s="40">
        <f t="shared" si="15"/>
        <v>5</v>
      </c>
      <c r="AA196" s="41">
        <v>5</v>
      </c>
      <c r="AB196" s="41">
        <v>5</v>
      </c>
      <c r="AC196" s="41">
        <v>1</v>
      </c>
      <c r="AD196" s="41">
        <v>5</v>
      </c>
      <c r="AE196" s="41">
        <v>5</v>
      </c>
      <c r="AF196" s="41">
        <v>5</v>
      </c>
      <c r="AG196" s="41">
        <v>2</v>
      </c>
      <c r="AH196" s="41">
        <v>1</v>
      </c>
      <c r="AI196" s="41">
        <v>3</v>
      </c>
      <c r="AJ196" s="41">
        <f t="shared" si="16"/>
        <v>3.5555555555555554</v>
      </c>
      <c r="AK196" s="40">
        <v>5</v>
      </c>
      <c r="AL196" s="40">
        <v>5</v>
      </c>
      <c r="AM196" s="40">
        <v>5</v>
      </c>
      <c r="AN196" s="40">
        <v>5</v>
      </c>
      <c r="AO196" s="40">
        <v>5</v>
      </c>
      <c r="AP196" s="40">
        <v>5</v>
      </c>
      <c r="AQ196" s="40">
        <v>5</v>
      </c>
      <c r="AR196" s="40">
        <v>5</v>
      </c>
      <c r="AS196" s="40">
        <v>5</v>
      </c>
      <c r="AT196" s="40"/>
      <c r="AU196" s="40"/>
      <c r="AV196" s="40">
        <f t="shared" si="13"/>
        <v>5</v>
      </c>
      <c r="AW196" s="42">
        <v>4</v>
      </c>
      <c r="AX196" s="42">
        <v>4</v>
      </c>
      <c r="AY196" s="42">
        <v>4</v>
      </c>
      <c r="AZ196" s="42"/>
      <c r="BA196" s="42">
        <f t="shared" si="17"/>
        <v>4</v>
      </c>
      <c r="BB196" s="43">
        <v>4</v>
      </c>
      <c r="BC196" s="43">
        <v>2</v>
      </c>
      <c r="BD196" s="44"/>
      <c r="BE196" s="44"/>
      <c r="BF196" s="45">
        <v>5</v>
      </c>
      <c r="BG196" s="45">
        <v>5</v>
      </c>
      <c r="BH196" s="45">
        <v>5</v>
      </c>
      <c r="BI196" s="45">
        <f t="shared" si="14"/>
        <v>4.2</v>
      </c>
    </row>
    <row r="197" spans="1:61" ht="16.5" customHeight="1">
      <c r="A197" s="48">
        <v>196</v>
      </c>
      <c r="B197" s="49" t="b">
        <v>0</v>
      </c>
      <c r="C197" s="37" t="s">
        <v>95</v>
      </c>
      <c r="D197" s="37" t="s">
        <v>189</v>
      </c>
      <c r="E197" s="38" t="s">
        <v>196</v>
      </c>
      <c r="F197" s="54" t="s">
        <v>197</v>
      </c>
      <c r="G197" s="54" t="s">
        <v>78</v>
      </c>
      <c r="H197" s="54"/>
      <c r="I197" s="39" t="s">
        <v>65</v>
      </c>
      <c r="J197" s="39" t="s">
        <v>65</v>
      </c>
      <c r="K197" s="55"/>
      <c r="L197" s="39">
        <v>2.5</v>
      </c>
      <c r="M197" s="55"/>
      <c r="N197" s="55"/>
      <c r="O197" s="55" t="s">
        <v>70</v>
      </c>
      <c r="P197" s="55"/>
      <c r="Q197" s="40">
        <v>5</v>
      </c>
      <c r="R197" s="40">
        <v>5</v>
      </c>
      <c r="S197" s="40">
        <v>5</v>
      </c>
      <c r="T197" s="40">
        <v>5</v>
      </c>
      <c r="U197" s="40">
        <v>5</v>
      </c>
      <c r="V197" s="40">
        <v>5</v>
      </c>
      <c r="W197" s="40">
        <v>5</v>
      </c>
      <c r="X197" s="40">
        <v>5</v>
      </c>
      <c r="Y197" s="40">
        <v>5</v>
      </c>
      <c r="Z197" s="40">
        <f t="shared" si="15"/>
        <v>5</v>
      </c>
      <c r="AA197" s="41">
        <v>4</v>
      </c>
      <c r="AB197" s="41">
        <v>5</v>
      </c>
      <c r="AC197" s="41">
        <v>3</v>
      </c>
      <c r="AD197" s="41">
        <v>5</v>
      </c>
      <c r="AE197" s="41">
        <v>5</v>
      </c>
      <c r="AF197" s="41">
        <v>5</v>
      </c>
      <c r="AG197" s="41">
        <v>3</v>
      </c>
      <c r="AH197" s="41">
        <v>1</v>
      </c>
      <c r="AI197" s="41">
        <v>5</v>
      </c>
      <c r="AJ197" s="41">
        <f t="shared" si="16"/>
        <v>4</v>
      </c>
      <c r="AK197" s="40">
        <v>5</v>
      </c>
      <c r="AL197" s="40">
        <v>5</v>
      </c>
      <c r="AM197" s="40">
        <v>5</v>
      </c>
      <c r="AN197" s="40">
        <v>5</v>
      </c>
      <c r="AO197" s="40">
        <v>5</v>
      </c>
      <c r="AP197" s="40">
        <v>5</v>
      </c>
      <c r="AQ197" s="40">
        <v>5</v>
      </c>
      <c r="AR197" s="40">
        <v>5</v>
      </c>
      <c r="AS197" s="40">
        <v>5</v>
      </c>
      <c r="AT197" s="40"/>
      <c r="AU197" s="40"/>
      <c r="AV197" s="40">
        <f t="shared" si="13"/>
        <v>5</v>
      </c>
      <c r="AW197" s="42">
        <v>3</v>
      </c>
      <c r="AX197" s="42">
        <v>4</v>
      </c>
      <c r="AY197" s="42">
        <v>4</v>
      </c>
      <c r="AZ197" s="42"/>
      <c r="BA197" s="42">
        <f t="shared" si="17"/>
        <v>3.6666666666666665</v>
      </c>
      <c r="BB197" s="43">
        <v>3</v>
      </c>
      <c r="BC197" s="43">
        <v>3</v>
      </c>
      <c r="BD197" s="44"/>
      <c r="BE197" s="44"/>
      <c r="BF197" s="45">
        <v>1</v>
      </c>
      <c r="BG197" s="45">
        <v>4</v>
      </c>
      <c r="BH197" s="45">
        <v>1</v>
      </c>
      <c r="BI197" s="45">
        <f t="shared" si="14"/>
        <v>2.4</v>
      </c>
    </row>
    <row r="198" spans="1:61" ht="16.5" customHeight="1">
      <c r="A198" s="48">
        <v>197</v>
      </c>
      <c r="B198" s="49" t="b">
        <v>0</v>
      </c>
      <c r="C198" s="37" t="s">
        <v>95</v>
      </c>
      <c r="D198" s="37"/>
      <c r="E198" s="38" t="s">
        <v>198</v>
      </c>
      <c r="F198" s="54" t="s">
        <v>63</v>
      </c>
      <c r="G198" s="54" t="s">
        <v>78</v>
      </c>
      <c r="H198" s="54"/>
      <c r="I198" s="39" t="s">
        <v>65</v>
      </c>
      <c r="J198" s="39" t="s">
        <v>65</v>
      </c>
      <c r="K198" s="39" t="s">
        <v>65</v>
      </c>
      <c r="L198" s="55">
        <v>3</v>
      </c>
      <c r="M198" s="55"/>
      <c r="N198" s="55"/>
      <c r="O198" s="55" t="s">
        <v>70</v>
      </c>
      <c r="P198" s="55"/>
      <c r="Q198" s="40">
        <v>4</v>
      </c>
      <c r="R198" s="40">
        <v>5</v>
      </c>
      <c r="S198" s="40">
        <v>5</v>
      </c>
      <c r="T198" s="40">
        <v>5</v>
      </c>
      <c r="U198" s="40">
        <v>4</v>
      </c>
      <c r="V198" s="40"/>
      <c r="W198" s="40">
        <v>4</v>
      </c>
      <c r="X198" s="40">
        <v>4</v>
      </c>
      <c r="Y198" s="40">
        <v>5</v>
      </c>
      <c r="Z198" s="40">
        <f t="shared" si="15"/>
        <v>4.5</v>
      </c>
      <c r="AA198" s="41">
        <v>5</v>
      </c>
      <c r="AB198" s="41">
        <v>5</v>
      </c>
      <c r="AC198" s="41">
        <v>5</v>
      </c>
      <c r="AD198" s="41">
        <v>5</v>
      </c>
      <c r="AE198" s="41">
        <v>5</v>
      </c>
      <c r="AF198" s="41">
        <v>5</v>
      </c>
      <c r="AG198" s="41">
        <v>5</v>
      </c>
      <c r="AH198" s="41">
        <v>5</v>
      </c>
      <c r="AI198" s="41">
        <v>5</v>
      </c>
      <c r="AJ198" s="41">
        <f t="shared" si="16"/>
        <v>5</v>
      </c>
      <c r="AK198" s="40">
        <v>4</v>
      </c>
      <c r="AL198" s="40">
        <v>4</v>
      </c>
      <c r="AM198" s="40">
        <v>4</v>
      </c>
      <c r="AN198" s="40">
        <v>4</v>
      </c>
      <c r="AO198" s="40">
        <v>4</v>
      </c>
      <c r="AP198" s="40">
        <v>4</v>
      </c>
      <c r="AQ198" s="40">
        <v>4</v>
      </c>
      <c r="AR198" s="40">
        <v>4</v>
      </c>
      <c r="AS198" s="40">
        <v>4</v>
      </c>
      <c r="AT198" s="40"/>
      <c r="AU198" s="40"/>
      <c r="AV198" s="40">
        <f t="shared" si="13"/>
        <v>4</v>
      </c>
      <c r="AW198" s="42">
        <v>4</v>
      </c>
      <c r="AX198" s="42">
        <v>4</v>
      </c>
      <c r="AY198" s="42"/>
      <c r="AZ198" s="42"/>
      <c r="BA198" s="42">
        <f t="shared" si="17"/>
        <v>4</v>
      </c>
      <c r="BB198" s="43"/>
      <c r="BC198" s="43"/>
      <c r="BD198" s="44">
        <v>3</v>
      </c>
      <c r="BE198" s="44">
        <v>4</v>
      </c>
      <c r="BF198" s="45">
        <v>4</v>
      </c>
      <c r="BG198" s="45"/>
      <c r="BH198" s="45">
        <v>4</v>
      </c>
      <c r="BI198" s="45">
        <f t="shared" si="14"/>
        <v>3.75</v>
      </c>
    </row>
    <row r="199" spans="1:61" ht="16.5" customHeight="1">
      <c r="A199" s="48">
        <v>198</v>
      </c>
      <c r="B199" s="49" t="b">
        <v>0</v>
      </c>
      <c r="C199" s="37" t="s">
        <v>95</v>
      </c>
      <c r="D199" s="37"/>
      <c r="E199" s="38" t="s">
        <v>72</v>
      </c>
      <c r="F199" s="54" t="s">
        <v>74</v>
      </c>
      <c r="G199" s="54" t="s">
        <v>64</v>
      </c>
      <c r="H199" s="54"/>
      <c r="I199" s="39" t="s">
        <v>65</v>
      </c>
      <c r="J199" s="39" t="s">
        <v>65</v>
      </c>
      <c r="K199" s="55"/>
      <c r="L199" s="39">
        <v>2.5</v>
      </c>
      <c r="M199" s="55"/>
      <c r="N199" s="55"/>
      <c r="O199" s="55" t="s">
        <v>70</v>
      </c>
      <c r="P199" s="55"/>
      <c r="Q199" s="40">
        <v>5</v>
      </c>
      <c r="R199" s="40">
        <v>5</v>
      </c>
      <c r="S199" s="40">
        <v>4</v>
      </c>
      <c r="T199" s="40">
        <v>5</v>
      </c>
      <c r="U199" s="40">
        <v>5</v>
      </c>
      <c r="V199" s="40">
        <v>4</v>
      </c>
      <c r="W199" s="40">
        <v>5</v>
      </c>
      <c r="X199" s="40">
        <v>5</v>
      </c>
      <c r="Y199" s="40">
        <v>4</v>
      </c>
      <c r="Z199" s="40">
        <f t="shared" si="15"/>
        <v>4.666666666666667</v>
      </c>
      <c r="AA199" s="41">
        <v>5</v>
      </c>
      <c r="AB199" s="41">
        <v>1</v>
      </c>
      <c r="AC199" s="41">
        <v>1</v>
      </c>
      <c r="AD199" s="41">
        <v>5</v>
      </c>
      <c r="AE199" s="41">
        <v>5</v>
      </c>
      <c r="AF199" s="41">
        <v>5</v>
      </c>
      <c r="AG199" s="41">
        <v>1</v>
      </c>
      <c r="AH199" s="41">
        <v>1</v>
      </c>
      <c r="AI199" s="41">
        <v>3</v>
      </c>
      <c r="AJ199" s="41">
        <f t="shared" si="16"/>
        <v>3</v>
      </c>
      <c r="AK199" s="40">
        <v>5</v>
      </c>
      <c r="AL199" s="40">
        <v>5</v>
      </c>
      <c r="AM199" s="40">
        <v>5</v>
      </c>
      <c r="AN199" s="40">
        <v>5</v>
      </c>
      <c r="AO199" s="40">
        <v>5</v>
      </c>
      <c r="AP199" s="40">
        <v>5</v>
      </c>
      <c r="AQ199" s="40">
        <v>5</v>
      </c>
      <c r="AR199" s="40">
        <v>5</v>
      </c>
      <c r="AS199" s="40">
        <v>5</v>
      </c>
      <c r="AT199" s="40"/>
      <c r="AU199" s="40"/>
      <c r="AV199" s="40">
        <f t="shared" si="13"/>
        <v>5</v>
      </c>
      <c r="AW199" s="42">
        <v>4</v>
      </c>
      <c r="AX199" s="42">
        <v>4</v>
      </c>
      <c r="AY199" s="42">
        <v>4</v>
      </c>
      <c r="AZ199" s="42"/>
      <c r="BA199" s="42">
        <f t="shared" si="17"/>
        <v>4</v>
      </c>
      <c r="BB199" s="43">
        <v>3</v>
      </c>
      <c r="BC199" s="43"/>
      <c r="BD199" s="44"/>
      <c r="BE199" s="44"/>
      <c r="BF199" s="45">
        <v>4</v>
      </c>
      <c r="BG199" s="45">
        <v>4</v>
      </c>
      <c r="BH199" s="45">
        <v>4</v>
      </c>
      <c r="BI199" s="45">
        <f t="shared" si="14"/>
        <v>3.75</v>
      </c>
    </row>
    <row r="200" spans="1:61" ht="16.5" customHeight="1">
      <c r="A200" s="48">
        <v>199</v>
      </c>
      <c r="B200" s="49" t="b">
        <v>0</v>
      </c>
      <c r="C200" s="37" t="s">
        <v>95</v>
      </c>
      <c r="D200" s="37"/>
      <c r="E200" s="38" t="s">
        <v>72</v>
      </c>
      <c r="F200" s="54" t="s">
        <v>78</v>
      </c>
      <c r="G200" s="54" t="s">
        <v>64</v>
      </c>
      <c r="H200" s="54"/>
      <c r="I200" s="39" t="s">
        <v>65</v>
      </c>
      <c r="J200" s="39" t="s">
        <v>65</v>
      </c>
      <c r="K200" s="55"/>
      <c r="L200" s="39">
        <v>2.5</v>
      </c>
      <c r="M200" s="55"/>
      <c r="N200" s="55"/>
      <c r="O200" s="55" t="s">
        <v>70</v>
      </c>
      <c r="P200" s="55"/>
      <c r="Q200" s="40">
        <v>4</v>
      </c>
      <c r="R200" s="40">
        <v>4</v>
      </c>
      <c r="S200" s="40">
        <v>5</v>
      </c>
      <c r="T200" s="40">
        <v>5</v>
      </c>
      <c r="U200" s="40">
        <v>5</v>
      </c>
      <c r="V200" s="40">
        <v>3</v>
      </c>
      <c r="W200" s="40">
        <v>4</v>
      </c>
      <c r="X200" s="40">
        <v>5</v>
      </c>
      <c r="Y200" s="40">
        <v>4</v>
      </c>
      <c r="Z200" s="40">
        <f t="shared" si="15"/>
        <v>4.333333333333333</v>
      </c>
      <c r="AA200" s="41">
        <v>2</v>
      </c>
      <c r="AB200" s="41">
        <v>1</v>
      </c>
      <c r="AC200" s="41">
        <v>2</v>
      </c>
      <c r="AD200" s="41">
        <v>2</v>
      </c>
      <c r="AE200" s="41">
        <v>2</v>
      </c>
      <c r="AF200" s="41">
        <v>1</v>
      </c>
      <c r="AG200" s="41">
        <v>1</v>
      </c>
      <c r="AH200" s="41">
        <v>1</v>
      </c>
      <c r="AI200" s="41">
        <v>2</v>
      </c>
      <c r="AJ200" s="41">
        <f t="shared" si="16"/>
        <v>1.5555555555555556</v>
      </c>
      <c r="AK200" s="40">
        <v>2</v>
      </c>
      <c r="AL200" s="40">
        <v>1</v>
      </c>
      <c r="AM200" s="40"/>
      <c r="AN200" s="40">
        <v>3</v>
      </c>
      <c r="AO200" s="40">
        <v>3</v>
      </c>
      <c r="AP200" s="40">
        <v>1</v>
      </c>
      <c r="AQ200" s="40">
        <v>3</v>
      </c>
      <c r="AR200" s="40">
        <v>3</v>
      </c>
      <c r="AS200" s="40">
        <v>3</v>
      </c>
      <c r="AT200" s="40"/>
      <c r="AU200" s="40"/>
      <c r="AV200" s="40">
        <f t="shared" si="13"/>
        <v>2.375</v>
      </c>
      <c r="AW200" s="42">
        <v>3</v>
      </c>
      <c r="AX200" s="42">
        <v>3</v>
      </c>
      <c r="AY200" s="42">
        <v>4</v>
      </c>
      <c r="AZ200" s="42"/>
      <c r="BA200" s="42">
        <f t="shared" si="17"/>
        <v>3.3333333333333335</v>
      </c>
      <c r="BB200" s="43">
        <v>3</v>
      </c>
      <c r="BC200" s="43"/>
      <c r="BD200" s="44"/>
      <c r="BE200" s="44"/>
      <c r="BF200" s="45">
        <v>1</v>
      </c>
      <c r="BG200" s="45">
        <v>5</v>
      </c>
      <c r="BH200" s="45">
        <v>5</v>
      </c>
      <c r="BI200" s="45">
        <f t="shared" si="14"/>
        <v>3.5</v>
      </c>
    </row>
    <row r="201" spans="1:61" ht="16.5" customHeight="1">
      <c r="A201" s="48">
        <v>200</v>
      </c>
      <c r="B201" s="49" t="b">
        <v>0</v>
      </c>
      <c r="C201" s="37" t="s">
        <v>95</v>
      </c>
      <c r="D201" s="37" t="s">
        <v>189</v>
      </c>
      <c r="E201" s="38" t="s">
        <v>72</v>
      </c>
      <c r="F201" s="54"/>
      <c r="G201" s="54"/>
      <c r="H201" s="54"/>
      <c r="I201" s="39" t="s">
        <v>65</v>
      </c>
      <c r="J201" s="39" t="s">
        <v>65</v>
      </c>
      <c r="K201" s="55"/>
      <c r="L201" s="39">
        <v>2.5</v>
      </c>
      <c r="M201" s="55"/>
      <c r="N201" s="55"/>
      <c r="O201" s="55" t="s">
        <v>70</v>
      </c>
      <c r="P201" s="55"/>
      <c r="Q201" s="40">
        <v>5</v>
      </c>
      <c r="R201" s="40">
        <v>5</v>
      </c>
      <c r="S201" s="40">
        <v>5</v>
      </c>
      <c r="T201" s="40">
        <v>5</v>
      </c>
      <c r="U201" s="40">
        <v>5</v>
      </c>
      <c r="V201" s="40">
        <v>5</v>
      </c>
      <c r="W201" s="40">
        <v>4</v>
      </c>
      <c r="X201" s="40">
        <v>4</v>
      </c>
      <c r="Y201" s="40">
        <v>5</v>
      </c>
      <c r="Z201" s="40">
        <f t="shared" si="15"/>
        <v>4.7777777777777777</v>
      </c>
      <c r="AA201" s="41">
        <v>1</v>
      </c>
      <c r="AB201" s="41">
        <v>1</v>
      </c>
      <c r="AC201" s="41">
        <v>3</v>
      </c>
      <c r="AD201" s="41">
        <v>3</v>
      </c>
      <c r="AE201" s="41">
        <v>3</v>
      </c>
      <c r="AF201" s="41">
        <v>2</v>
      </c>
      <c r="AG201" s="41">
        <v>2</v>
      </c>
      <c r="AH201" s="41">
        <v>1</v>
      </c>
      <c r="AI201" s="41">
        <v>3</v>
      </c>
      <c r="AJ201" s="41">
        <f t="shared" si="16"/>
        <v>2.1111111111111112</v>
      </c>
      <c r="AK201" s="40">
        <v>1</v>
      </c>
      <c r="AL201" s="40">
        <v>1</v>
      </c>
      <c r="AM201" s="40">
        <v>1</v>
      </c>
      <c r="AN201" s="40">
        <v>1</v>
      </c>
      <c r="AO201" s="40">
        <v>1</v>
      </c>
      <c r="AP201" s="40">
        <v>1</v>
      </c>
      <c r="AQ201" s="40">
        <v>1</v>
      </c>
      <c r="AR201" s="40">
        <v>1</v>
      </c>
      <c r="AS201" s="40">
        <v>1</v>
      </c>
      <c r="AT201" s="40"/>
      <c r="AU201" s="40"/>
      <c r="AV201" s="40">
        <f t="shared" si="13"/>
        <v>1</v>
      </c>
      <c r="AW201" s="42">
        <v>4</v>
      </c>
      <c r="AX201" s="42"/>
      <c r="AY201" s="42"/>
      <c r="AZ201" s="42"/>
      <c r="BA201" s="42">
        <f t="shared" si="17"/>
        <v>4</v>
      </c>
      <c r="BB201" s="43">
        <v>3</v>
      </c>
      <c r="BC201" s="43">
        <v>1</v>
      </c>
      <c r="BD201" s="44"/>
      <c r="BE201" s="44"/>
      <c r="BF201" s="45">
        <v>4</v>
      </c>
      <c r="BG201" s="45">
        <v>4</v>
      </c>
      <c r="BH201" s="45">
        <v>4</v>
      </c>
      <c r="BI201" s="45">
        <f t="shared" si="14"/>
        <v>3.2</v>
      </c>
    </row>
    <row r="202" spans="1:61" ht="16.5" customHeight="1">
      <c r="A202" s="48">
        <v>201</v>
      </c>
      <c r="B202" s="49" t="b">
        <v>0</v>
      </c>
      <c r="C202" s="37" t="s">
        <v>95</v>
      </c>
      <c r="D202" s="37" t="s">
        <v>189</v>
      </c>
      <c r="E202" s="38" t="s">
        <v>72</v>
      </c>
      <c r="F202" s="54" t="s">
        <v>78</v>
      </c>
      <c r="G202" s="54" t="s">
        <v>64</v>
      </c>
      <c r="H202" s="54"/>
      <c r="I202" s="39" t="s">
        <v>65</v>
      </c>
      <c r="J202" s="39" t="s">
        <v>65</v>
      </c>
      <c r="K202" s="55"/>
      <c r="L202" s="39">
        <v>2.5</v>
      </c>
      <c r="M202" s="55"/>
      <c r="N202" s="55"/>
      <c r="O202" s="55" t="s">
        <v>70</v>
      </c>
      <c r="P202" s="55"/>
      <c r="Q202" s="40">
        <v>4</v>
      </c>
      <c r="R202" s="40">
        <v>5</v>
      </c>
      <c r="S202" s="40">
        <v>5</v>
      </c>
      <c r="T202" s="40">
        <v>4</v>
      </c>
      <c r="U202" s="40">
        <v>4</v>
      </c>
      <c r="V202" s="40">
        <v>5</v>
      </c>
      <c r="W202" s="40">
        <v>3</v>
      </c>
      <c r="X202" s="40">
        <v>4</v>
      </c>
      <c r="Y202" s="40">
        <v>4</v>
      </c>
      <c r="Z202" s="40">
        <f t="shared" si="15"/>
        <v>4.2222222222222223</v>
      </c>
      <c r="AA202" s="41">
        <v>3</v>
      </c>
      <c r="AB202" s="41">
        <v>1</v>
      </c>
      <c r="AC202" s="41">
        <v>3</v>
      </c>
      <c r="AD202" s="41">
        <v>3</v>
      </c>
      <c r="AE202" s="41">
        <v>3</v>
      </c>
      <c r="AF202" s="41">
        <v>1</v>
      </c>
      <c r="AG202" s="41">
        <v>1</v>
      </c>
      <c r="AH202" s="41">
        <v>1</v>
      </c>
      <c r="AI202" s="41">
        <v>3</v>
      </c>
      <c r="AJ202" s="41">
        <f t="shared" si="16"/>
        <v>2.1111111111111112</v>
      </c>
      <c r="AK202" s="40">
        <v>5</v>
      </c>
      <c r="AL202" s="40">
        <v>5</v>
      </c>
      <c r="AM202" s="40">
        <v>5</v>
      </c>
      <c r="AN202" s="40">
        <v>5</v>
      </c>
      <c r="AO202" s="40">
        <v>5</v>
      </c>
      <c r="AP202" s="40">
        <v>5</v>
      </c>
      <c r="AQ202" s="40">
        <v>5</v>
      </c>
      <c r="AR202" s="40">
        <v>5</v>
      </c>
      <c r="AS202" s="40">
        <v>5</v>
      </c>
      <c r="AT202" s="40"/>
      <c r="AU202" s="40"/>
      <c r="AV202" s="40">
        <f t="shared" si="13"/>
        <v>5</v>
      </c>
      <c r="AW202" s="42">
        <v>3</v>
      </c>
      <c r="AX202" s="42">
        <v>3</v>
      </c>
      <c r="AY202" s="42">
        <v>3</v>
      </c>
      <c r="AZ202" s="42"/>
      <c r="BA202" s="42">
        <f t="shared" si="17"/>
        <v>3</v>
      </c>
      <c r="BB202" s="43">
        <v>3</v>
      </c>
      <c r="BC202" s="43"/>
      <c r="BD202" s="44"/>
      <c r="BE202" s="44"/>
      <c r="BF202" s="45">
        <v>1</v>
      </c>
      <c r="BG202" s="45">
        <v>4</v>
      </c>
      <c r="BH202" s="45">
        <v>1</v>
      </c>
      <c r="BI202" s="45">
        <f t="shared" si="14"/>
        <v>2.25</v>
      </c>
    </row>
    <row r="203" spans="1:61" ht="16.5" customHeight="1">
      <c r="A203" s="48">
        <v>202</v>
      </c>
      <c r="B203" s="49" t="b">
        <v>0</v>
      </c>
      <c r="C203" s="37" t="s">
        <v>95</v>
      </c>
      <c r="D203" s="37"/>
      <c r="E203" s="38" t="s">
        <v>199</v>
      </c>
      <c r="F203" s="54" t="s">
        <v>74</v>
      </c>
      <c r="G203" s="54"/>
      <c r="H203" s="54"/>
      <c r="I203" s="39" t="s">
        <v>65</v>
      </c>
      <c r="J203" s="39" t="s">
        <v>65</v>
      </c>
      <c r="K203" s="55"/>
      <c r="L203" s="39">
        <v>2.5</v>
      </c>
      <c r="M203" s="55"/>
      <c r="N203" s="55"/>
      <c r="O203" s="55" t="s">
        <v>70</v>
      </c>
      <c r="P203" s="55"/>
      <c r="Q203" s="40">
        <v>2</v>
      </c>
      <c r="R203" s="40">
        <v>3</v>
      </c>
      <c r="S203" s="40">
        <v>2</v>
      </c>
      <c r="T203" s="40">
        <v>4</v>
      </c>
      <c r="U203" s="40">
        <v>4</v>
      </c>
      <c r="V203" s="40">
        <v>3</v>
      </c>
      <c r="W203" s="40">
        <v>2</v>
      </c>
      <c r="X203" s="40">
        <v>1</v>
      </c>
      <c r="Y203" s="40">
        <v>1</v>
      </c>
      <c r="Z203" s="40">
        <f t="shared" si="15"/>
        <v>2.4444444444444446</v>
      </c>
      <c r="AA203" s="41">
        <v>1</v>
      </c>
      <c r="AB203" s="41">
        <v>1</v>
      </c>
      <c r="AC203" s="41">
        <v>1</v>
      </c>
      <c r="AD203" s="41">
        <v>1</v>
      </c>
      <c r="AE203" s="41">
        <v>1</v>
      </c>
      <c r="AF203" s="41">
        <v>1</v>
      </c>
      <c r="AG203" s="41">
        <v>1</v>
      </c>
      <c r="AH203" s="41">
        <v>1</v>
      </c>
      <c r="AI203" s="41">
        <v>1</v>
      </c>
      <c r="AJ203" s="41">
        <f t="shared" si="16"/>
        <v>1</v>
      </c>
      <c r="AK203" s="40">
        <v>1</v>
      </c>
      <c r="AL203" s="40">
        <v>1</v>
      </c>
      <c r="AM203" s="40">
        <v>1</v>
      </c>
      <c r="AN203" s="40">
        <v>1</v>
      </c>
      <c r="AO203" s="40">
        <v>1</v>
      </c>
      <c r="AP203" s="40">
        <v>1</v>
      </c>
      <c r="AQ203" s="40">
        <v>1</v>
      </c>
      <c r="AR203" s="40">
        <v>1</v>
      </c>
      <c r="AS203" s="40">
        <v>1</v>
      </c>
      <c r="AT203" s="40"/>
      <c r="AU203" s="40"/>
      <c r="AV203" s="40">
        <f t="shared" si="13"/>
        <v>1</v>
      </c>
      <c r="AW203" s="42">
        <v>3</v>
      </c>
      <c r="AX203" s="42"/>
      <c r="AY203" s="42">
        <v>3</v>
      </c>
      <c r="AZ203" s="42"/>
      <c r="BA203" s="42">
        <f t="shared" si="17"/>
        <v>3</v>
      </c>
      <c r="BB203" s="43">
        <v>2</v>
      </c>
      <c r="BC203" s="43">
        <v>2</v>
      </c>
      <c r="BD203" s="44">
        <v>2</v>
      </c>
      <c r="BE203" s="44"/>
      <c r="BF203" s="45">
        <v>1</v>
      </c>
      <c r="BG203" s="45">
        <v>3</v>
      </c>
      <c r="BH203" s="45">
        <v>1</v>
      </c>
      <c r="BI203" s="45">
        <f t="shared" si="14"/>
        <v>1.8333333333333333</v>
      </c>
    </row>
    <row r="204" spans="1:61" ht="16.5" customHeight="1">
      <c r="A204" s="48">
        <v>203</v>
      </c>
      <c r="B204" s="49" t="b">
        <v>1</v>
      </c>
      <c r="C204" s="37" t="s">
        <v>60</v>
      </c>
      <c r="D204" s="37" t="s">
        <v>66</v>
      </c>
      <c r="E204" s="38" t="s">
        <v>200</v>
      </c>
      <c r="F204" s="54" t="s">
        <v>74</v>
      </c>
      <c r="G204" s="54" t="s">
        <v>78</v>
      </c>
      <c r="H204" s="54">
        <v>2018</v>
      </c>
      <c r="I204" s="39" t="s">
        <v>65</v>
      </c>
      <c r="J204" s="39" t="s">
        <v>65</v>
      </c>
      <c r="K204" s="55"/>
      <c r="L204" s="39">
        <v>2.5</v>
      </c>
      <c r="M204" s="55" t="s">
        <v>70</v>
      </c>
      <c r="N204" s="55"/>
      <c r="O204" s="55"/>
      <c r="P204" s="55"/>
      <c r="Q204" s="40">
        <v>4</v>
      </c>
      <c r="R204" s="40">
        <v>4</v>
      </c>
      <c r="S204" s="40">
        <v>4</v>
      </c>
      <c r="T204" s="40">
        <v>4</v>
      </c>
      <c r="U204" s="40">
        <v>4</v>
      </c>
      <c r="V204" s="40">
        <v>4</v>
      </c>
      <c r="W204" s="40">
        <v>4</v>
      </c>
      <c r="X204" s="40">
        <v>4</v>
      </c>
      <c r="Y204" s="40">
        <v>4</v>
      </c>
      <c r="Z204" s="40">
        <f t="shared" si="15"/>
        <v>4</v>
      </c>
      <c r="AA204" s="41">
        <v>5</v>
      </c>
      <c r="AB204" s="41">
        <v>5</v>
      </c>
      <c r="AC204" s="41">
        <v>5</v>
      </c>
      <c r="AD204" s="41">
        <v>5</v>
      </c>
      <c r="AE204" s="41">
        <v>5</v>
      </c>
      <c r="AF204" s="41">
        <v>5</v>
      </c>
      <c r="AG204" s="41">
        <v>5</v>
      </c>
      <c r="AH204" s="41">
        <v>5</v>
      </c>
      <c r="AI204" s="41">
        <v>5</v>
      </c>
      <c r="AJ204" s="41">
        <f t="shared" si="16"/>
        <v>5</v>
      </c>
      <c r="AK204" s="40"/>
      <c r="AL204" s="40"/>
      <c r="AM204" s="40"/>
      <c r="AN204" s="40"/>
      <c r="AO204" s="40"/>
      <c r="AP204" s="40"/>
      <c r="AQ204" s="40"/>
      <c r="AR204" s="40"/>
      <c r="AS204" s="40"/>
      <c r="AT204" s="40"/>
      <c r="AU204" s="40"/>
      <c r="AV204" s="40"/>
      <c r="AW204" s="42">
        <v>1</v>
      </c>
      <c r="AX204" s="42">
        <v>4</v>
      </c>
      <c r="AY204" s="42">
        <v>4</v>
      </c>
      <c r="AZ204" s="42"/>
      <c r="BA204" s="42">
        <f t="shared" si="17"/>
        <v>3</v>
      </c>
      <c r="BB204" s="43">
        <v>4</v>
      </c>
      <c r="BC204" s="43">
        <v>4</v>
      </c>
      <c r="BD204" s="44">
        <v>5</v>
      </c>
      <c r="BE204" s="44"/>
      <c r="BF204" s="45">
        <v>5</v>
      </c>
      <c r="BG204" s="45">
        <v>5</v>
      </c>
      <c r="BH204" s="45">
        <v>5</v>
      </c>
      <c r="BI204" s="45">
        <f t="shared" si="14"/>
        <v>4.666666666666667</v>
      </c>
    </row>
    <row r="205" spans="1:61" ht="16.5" customHeight="1">
      <c r="A205" s="48">
        <v>204</v>
      </c>
      <c r="B205" s="49" t="b">
        <v>1</v>
      </c>
      <c r="C205" s="37" t="s">
        <v>60</v>
      </c>
      <c r="D205" s="37" t="s">
        <v>103</v>
      </c>
      <c r="E205" s="38" t="s">
        <v>201</v>
      </c>
      <c r="F205" s="54" t="s">
        <v>74</v>
      </c>
      <c r="G205" s="54" t="s">
        <v>64</v>
      </c>
      <c r="H205" s="54"/>
      <c r="I205" s="39" t="s">
        <v>65</v>
      </c>
      <c r="J205" s="39" t="s">
        <v>65</v>
      </c>
      <c r="K205" s="55"/>
      <c r="L205" s="39">
        <v>2.5</v>
      </c>
      <c r="M205" s="55" t="s">
        <v>70</v>
      </c>
      <c r="N205" s="55"/>
      <c r="O205" s="55"/>
      <c r="P205" s="55"/>
      <c r="Q205" s="40">
        <v>3</v>
      </c>
      <c r="R205" s="40">
        <v>3</v>
      </c>
      <c r="S205" s="40">
        <v>3</v>
      </c>
      <c r="T205" s="40">
        <v>3</v>
      </c>
      <c r="U205" s="40">
        <v>3</v>
      </c>
      <c r="V205" s="40">
        <v>3</v>
      </c>
      <c r="W205" s="40">
        <v>3</v>
      </c>
      <c r="X205" s="40">
        <v>3</v>
      </c>
      <c r="Y205" s="40">
        <v>3</v>
      </c>
      <c r="Z205" s="40">
        <f t="shared" si="15"/>
        <v>3</v>
      </c>
      <c r="AA205" s="41">
        <v>3</v>
      </c>
      <c r="AB205" s="41">
        <v>4</v>
      </c>
      <c r="AC205" s="41">
        <v>4</v>
      </c>
      <c r="AD205" s="41">
        <v>4</v>
      </c>
      <c r="AE205" s="41">
        <v>4</v>
      </c>
      <c r="AF205" s="41">
        <v>4</v>
      </c>
      <c r="AG205" s="41">
        <v>4</v>
      </c>
      <c r="AH205" s="41">
        <v>4</v>
      </c>
      <c r="AI205" s="41">
        <v>3</v>
      </c>
      <c r="AJ205" s="41">
        <f t="shared" si="16"/>
        <v>3.7777777777777777</v>
      </c>
      <c r="AK205" s="40"/>
      <c r="AL205" s="40"/>
      <c r="AM205" s="40"/>
      <c r="AN205" s="40"/>
      <c r="AO205" s="40"/>
      <c r="AP205" s="40"/>
      <c r="AQ205" s="40"/>
      <c r="AR205" s="40"/>
      <c r="AS205" s="40"/>
      <c r="AT205" s="40"/>
      <c r="AU205" s="40"/>
      <c r="AV205" s="40">
        <v>3</v>
      </c>
      <c r="AW205" s="42">
        <v>4</v>
      </c>
      <c r="AX205" s="42">
        <v>4</v>
      </c>
      <c r="AY205" s="42"/>
      <c r="AZ205" s="42"/>
      <c r="BA205" s="42">
        <f t="shared" si="17"/>
        <v>4</v>
      </c>
      <c r="BB205" s="43">
        <v>3</v>
      </c>
      <c r="BC205" s="43">
        <v>3</v>
      </c>
      <c r="BD205" s="44">
        <v>5</v>
      </c>
      <c r="BE205" s="44"/>
      <c r="BF205" s="45">
        <v>4</v>
      </c>
      <c r="BG205" s="45">
        <v>4</v>
      </c>
      <c r="BH205" s="45"/>
      <c r="BI205" s="45">
        <f t="shared" si="14"/>
        <v>3.8</v>
      </c>
    </row>
    <row r="206" spans="1:61" ht="16.5" customHeight="1">
      <c r="A206" s="48">
        <v>212</v>
      </c>
      <c r="B206" s="49" t="b">
        <v>1</v>
      </c>
      <c r="C206" s="37" t="s">
        <v>95</v>
      </c>
      <c r="D206" s="37"/>
      <c r="E206" s="38" t="s">
        <v>75</v>
      </c>
      <c r="F206" s="54" t="s">
        <v>78</v>
      </c>
      <c r="G206" s="54" t="s">
        <v>64</v>
      </c>
      <c r="H206" s="54">
        <v>2022</v>
      </c>
      <c r="I206" s="39" t="s">
        <v>65</v>
      </c>
      <c r="J206" s="39" t="s">
        <v>65</v>
      </c>
      <c r="K206" s="39" t="s">
        <v>65</v>
      </c>
      <c r="L206" s="55">
        <v>3</v>
      </c>
      <c r="M206" s="55"/>
      <c r="N206" s="55"/>
      <c r="O206" s="55" t="s">
        <v>70</v>
      </c>
      <c r="P206" s="55"/>
      <c r="Q206" s="40">
        <v>4</v>
      </c>
      <c r="R206" s="40">
        <v>4</v>
      </c>
      <c r="S206" s="40">
        <v>4</v>
      </c>
      <c r="T206" s="40">
        <v>4</v>
      </c>
      <c r="U206" s="40">
        <v>4</v>
      </c>
      <c r="V206" s="40">
        <v>4</v>
      </c>
      <c r="W206" s="40">
        <v>4</v>
      </c>
      <c r="X206" s="40">
        <v>4</v>
      </c>
      <c r="Y206" s="40">
        <v>4</v>
      </c>
      <c r="Z206" s="40">
        <f t="shared" si="15"/>
        <v>4</v>
      </c>
      <c r="AA206" s="41">
        <v>5</v>
      </c>
      <c r="AB206" s="41">
        <v>5</v>
      </c>
      <c r="AC206" s="41">
        <v>5</v>
      </c>
      <c r="AD206" s="41">
        <v>5</v>
      </c>
      <c r="AE206" s="41">
        <v>5</v>
      </c>
      <c r="AF206" s="41">
        <v>5</v>
      </c>
      <c r="AG206" s="41">
        <v>5</v>
      </c>
      <c r="AH206" s="41">
        <v>5</v>
      </c>
      <c r="AI206" s="41">
        <v>5</v>
      </c>
      <c r="AJ206" s="41">
        <f t="shared" si="16"/>
        <v>5</v>
      </c>
      <c r="AK206" s="40"/>
      <c r="AL206" s="40"/>
      <c r="AM206" s="40"/>
      <c r="AN206" s="40"/>
      <c r="AO206" s="40"/>
      <c r="AP206" s="40"/>
      <c r="AQ206" s="40"/>
      <c r="AR206" s="40"/>
      <c r="AS206" s="40"/>
      <c r="AT206" s="40"/>
      <c r="AU206" s="40"/>
      <c r="AV206" s="40">
        <v>5</v>
      </c>
      <c r="AW206" s="42">
        <v>5</v>
      </c>
      <c r="AX206" s="42">
        <v>5</v>
      </c>
      <c r="AY206" s="42">
        <v>5</v>
      </c>
      <c r="AZ206" s="42"/>
      <c r="BA206" s="42">
        <f t="shared" si="17"/>
        <v>5</v>
      </c>
      <c r="BB206" s="43">
        <v>5</v>
      </c>
      <c r="BC206" s="43"/>
      <c r="BD206" s="44"/>
      <c r="BE206" s="44"/>
      <c r="BF206" s="45"/>
      <c r="BG206" s="45"/>
      <c r="BH206" s="45"/>
      <c r="BI206" s="45">
        <f t="shared" si="14"/>
        <v>5</v>
      </c>
    </row>
    <row r="207" spans="1:61" ht="16.5" customHeight="1">
      <c r="A207" s="48">
        <v>213</v>
      </c>
      <c r="B207" s="49" t="b">
        <v>1</v>
      </c>
      <c r="C207" s="37" t="s">
        <v>88</v>
      </c>
      <c r="D207" s="37" t="s">
        <v>89</v>
      </c>
      <c r="E207" s="38" t="s">
        <v>96</v>
      </c>
      <c r="F207" s="54" t="s">
        <v>63</v>
      </c>
      <c r="G207" s="54" t="s">
        <v>78</v>
      </c>
      <c r="H207" s="54"/>
      <c r="I207" s="39" t="s">
        <v>65</v>
      </c>
      <c r="J207" s="55" t="s">
        <v>83</v>
      </c>
      <c r="K207" s="55"/>
      <c r="L207" s="55">
        <v>3</v>
      </c>
      <c r="M207" s="55"/>
      <c r="N207" s="55"/>
      <c r="O207" s="55" t="s">
        <v>70</v>
      </c>
      <c r="P207" s="55" t="s">
        <v>70</v>
      </c>
      <c r="Q207" s="40">
        <v>5</v>
      </c>
      <c r="R207" s="40">
        <v>5</v>
      </c>
      <c r="S207" s="40">
        <v>5</v>
      </c>
      <c r="T207" s="40">
        <v>5</v>
      </c>
      <c r="U207" s="40">
        <v>5</v>
      </c>
      <c r="V207" s="40">
        <v>5</v>
      </c>
      <c r="W207" s="40">
        <v>5</v>
      </c>
      <c r="X207" s="40">
        <v>5</v>
      </c>
      <c r="Y207" s="40">
        <v>4</v>
      </c>
      <c r="Z207" s="40">
        <f t="shared" si="15"/>
        <v>4.8888888888888893</v>
      </c>
      <c r="AA207" s="41">
        <v>5</v>
      </c>
      <c r="AB207" s="41">
        <v>5</v>
      </c>
      <c r="AC207" s="41">
        <v>5</v>
      </c>
      <c r="AD207" s="41">
        <v>5</v>
      </c>
      <c r="AE207" s="41">
        <v>5</v>
      </c>
      <c r="AF207" s="41">
        <v>5</v>
      </c>
      <c r="AG207" s="41">
        <v>5</v>
      </c>
      <c r="AH207" s="41">
        <v>5</v>
      </c>
      <c r="AI207" s="41">
        <v>5</v>
      </c>
      <c r="AJ207" s="41">
        <f t="shared" si="16"/>
        <v>5</v>
      </c>
      <c r="AK207" s="40"/>
      <c r="AL207" s="40"/>
      <c r="AM207" s="40"/>
      <c r="AN207" s="40"/>
      <c r="AO207" s="40"/>
      <c r="AP207" s="40"/>
      <c r="AQ207" s="40"/>
      <c r="AR207" s="40"/>
      <c r="AS207" s="40"/>
      <c r="AT207" s="40"/>
      <c r="AU207" s="40"/>
      <c r="AV207" s="40">
        <v>5</v>
      </c>
      <c r="AW207" s="42">
        <v>5</v>
      </c>
      <c r="AX207" s="42">
        <v>5</v>
      </c>
      <c r="AY207" s="42">
        <v>5</v>
      </c>
      <c r="AZ207" s="42"/>
      <c r="BA207" s="42">
        <f t="shared" si="17"/>
        <v>5</v>
      </c>
      <c r="BB207" s="43">
        <v>5</v>
      </c>
      <c r="BC207" s="43"/>
      <c r="BD207" s="44">
        <v>5</v>
      </c>
      <c r="BE207" s="44"/>
      <c r="BF207" s="45">
        <v>5</v>
      </c>
      <c r="BG207" s="45">
        <v>5</v>
      </c>
      <c r="BH207" s="45">
        <v>5</v>
      </c>
      <c r="BI207" s="45">
        <f t="shared" si="14"/>
        <v>5</v>
      </c>
    </row>
    <row r="208" spans="1:61" ht="16.5" customHeight="1">
      <c r="A208" s="48">
        <v>214</v>
      </c>
      <c r="B208" s="49" t="b">
        <v>0</v>
      </c>
      <c r="C208" s="37" t="s">
        <v>202</v>
      </c>
      <c r="D208" s="37" t="s">
        <v>102</v>
      </c>
      <c r="E208" s="38" t="s">
        <v>72</v>
      </c>
      <c r="F208" s="54" t="s">
        <v>63</v>
      </c>
      <c r="G208" s="54" t="s">
        <v>78</v>
      </c>
      <c r="H208" s="54"/>
      <c r="I208" s="46" t="s">
        <v>69</v>
      </c>
      <c r="J208" s="55" t="s">
        <v>83</v>
      </c>
      <c r="K208" s="55"/>
      <c r="L208" s="39">
        <v>2.5</v>
      </c>
      <c r="M208" s="55"/>
      <c r="N208" s="55"/>
      <c r="O208" s="55"/>
      <c r="P208" s="55"/>
      <c r="Q208" s="40"/>
      <c r="R208" s="40">
        <v>4</v>
      </c>
      <c r="S208" s="40">
        <v>4</v>
      </c>
      <c r="T208" s="40">
        <v>4</v>
      </c>
      <c r="U208" s="40">
        <v>4</v>
      </c>
      <c r="V208" s="40">
        <v>4</v>
      </c>
      <c r="W208" s="40">
        <v>4</v>
      </c>
      <c r="X208" s="40">
        <v>4</v>
      </c>
      <c r="Y208" s="40">
        <v>4</v>
      </c>
      <c r="Z208" s="40">
        <f t="shared" si="15"/>
        <v>4</v>
      </c>
      <c r="AA208" s="41"/>
      <c r="AB208" s="41">
        <v>3</v>
      </c>
      <c r="AC208" s="41">
        <v>3</v>
      </c>
      <c r="AD208" s="41">
        <v>4</v>
      </c>
      <c r="AE208" s="41">
        <v>3</v>
      </c>
      <c r="AF208" s="41"/>
      <c r="AG208" s="41">
        <v>2</v>
      </c>
      <c r="AH208" s="41">
        <v>2</v>
      </c>
      <c r="AI208" s="41">
        <v>3</v>
      </c>
      <c r="AJ208" s="41">
        <f t="shared" si="16"/>
        <v>2.8571428571428572</v>
      </c>
      <c r="AK208" s="40"/>
      <c r="AL208" s="40"/>
      <c r="AM208" s="40"/>
      <c r="AN208" s="40"/>
      <c r="AO208" s="40"/>
      <c r="AP208" s="40"/>
      <c r="AQ208" s="40"/>
      <c r="AR208" s="40"/>
      <c r="AS208" s="40"/>
      <c r="AT208" s="40"/>
      <c r="AU208" s="40"/>
      <c r="AV208" s="40">
        <v>4</v>
      </c>
      <c r="AW208" s="42">
        <v>5</v>
      </c>
      <c r="AX208" s="42">
        <v>4</v>
      </c>
      <c r="AY208" s="42"/>
      <c r="AZ208" s="42"/>
      <c r="BA208" s="42">
        <f t="shared" si="17"/>
        <v>4.5</v>
      </c>
      <c r="BB208" s="43"/>
      <c r="BC208" s="43"/>
      <c r="BD208" s="44"/>
      <c r="BE208" s="44"/>
      <c r="BF208" s="45"/>
      <c r="BG208" s="45"/>
      <c r="BH208" s="45"/>
      <c r="BI208" s="45" t="e">
        <f t="shared" si="14"/>
        <v>#DIV/0!</v>
      </c>
    </row>
    <row r="209" spans="1:61" ht="16.5" customHeight="1">
      <c r="A209" s="48">
        <v>215</v>
      </c>
      <c r="B209" s="49" t="b">
        <v>0</v>
      </c>
      <c r="C209" s="37" t="s">
        <v>119</v>
      </c>
      <c r="D209" s="37"/>
      <c r="E209" s="38" t="s">
        <v>75</v>
      </c>
      <c r="F209" s="54" t="s">
        <v>105</v>
      </c>
      <c r="G209" s="54" t="s">
        <v>78</v>
      </c>
      <c r="H209" s="54">
        <v>2020</v>
      </c>
      <c r="I209" s="39" t="s">
        <v>65</v>
      </c>
      <c r="J209" s="55" t="s">
        <v>83</v>
      </c>
      <c r="K209" s="55"/>
      <c r="L209" s="39">
        <v>2.5</v>
      </c>
      <c r="M209" s="55"/>
      <c r="N209" s="55" t="s">
        <v>70</v>
      </c>
      <c r="O209" s="55"/>
      <c r="P209" s="55"/>
      <c r="Q209" s="40">
        <v>3</v>
      </c>
      <c r="R209" s="40">
        <v>3</v>
      </c>
      <c r="S209" s="40">
        <v>3</v>
      </c>
      <c r="T209" s="40">
        <v>3</v>
      </c>
      <c r="U209" s="40">
        <v>3</v>
      </c>
      <c r="V209" s="40">
        <v>3</v>
      </c>
      <c r="W209" s="40">
        <v>3</v>
      </c>
      <c r="X209" s="40">
        <v>3</v>
      </c>
      <c r="Y209" s="40">
        <v>2</v>
      </c>
      <c r="Z209" s="40">
        <f t="shared" si="15"/>
        <v>2.8888888888888888</v>
      </c>
      <c r="AA209" s="41">
        <v>4</v>
      </c>
      <c r="AB209" s="41">
        <v>4</v>
      </c>
      <c r="AC209" s="41">
        <v>4</v>
      </c>
      <c r="AD209" s="41">
        <v>4</v>
      </c>
      <c r="AE209" s="41">
        <v>4</v>
      </c>
      <c r="AF209" s="41">
        <v>4</v>
      </c>
      <c r="AG209" s="41">
        <v>4</v>
      </c>
      <c r="AH209" s="41">
        <v>4</v>
      </c>
      <c r="AI209" s="41">
        <v>2</v>
      </c>
      <c r="AJ209" s="41">
        <f t="shared" si="16"/>
        <v>3.7777777777777777</v>
      </c>
      <c r="AK209" s="40"/>
      <c r="AL209" s="40"/>
      <c r="AM209" s="40"/>
      <c r="AN209" s="40"/>
      <c r="AO209" s="40"/>
      <c r="AP209" s="40"/>
      <c r="AQ209" s="40"/>
      <c r="AR209" s="40"/>
      <c r="AS209" s="40"/>
      <c r="AT209" s="40"/>
      <c r="AU209" s="40"/>
      <c r="AV209" s="40"/>
      <c r="AW209" s="42">
        <v>3</v>
      </c>
      <c r="AX209" s="42">
        <v>3</v>
      </c>
      <c r="AY209" s="42"/>
      <c r="AZ209" s="42"/>
      <c r="BA209" s="42">
        <f t="shared" si="17"/>
        <v>3</v>
      </c>
      <c r="BB209" s="43">
        <v>2</v>
      </c>
      <c r="BC209" s="43">
        <v>2</v>
      </c>
      <c r="BD209" s="44">
        <v>4</v>
      </c>
      <c r="BE209" s="44">
        <v>4</v>
      </c>
      <c r="BF209" s="45">
        <v>4</v>
      </c>
      <c r="BG209" s="45">
        <v>4</v>
      </c>
      <c r="BH209" s="45">
        <v>4</v>
      </c>
      <c r="BI209" s="45">
        <f t="shared" si="14"/>
        <v>3.4285714285714284</v>
      </c>
    </row>
    <row r="210" spans="1:61" ht="16.5" customHeight="1">
      <c r="A210" s="48">
        <v>216</v>
      </c>
      <c r="B210" s="49" t="b">
        <v>1</v>
      </c>
      <c r="C210" s="37" t="s">
        <v>119</v>
      </c>
      <c r="D210" s="37"/>
      <c r="E210" s="38" t="s">
        <v>86</v>
      </c>
      <c r="F210" s="54" t="s">
        <v>74</v>
      </c>
      <c r="G210" s="54" t="s">
        <v>78</v>
      </c>
      <c r="H210" s="54">
        <v>2023</v>
      </c>
      <c r="I210" s="55" t="s">
        <v>203</v>
      </c>
      <c r="J210" s="55" t="s">
        <v>203</v>
      </c>
      <c r="K210" s="55" t="s">
        <v>65</v>
      </c>
      <c r="L210" s="55">
        <v>3</v>
      </c>
      <c r="M210" s="55"/>
      <c r="N210" s="55"/>
      <c r="O210" s="55"/>
      <c r="P210" s="55"/>
      <c r="Q210" s="40">
        <v>4</v>
      </c>
      <c r="R210" s="40">
        <v>4</v>
      </c>
      <c r="S210" s="40">
        <v>4</v>
      </c>
      <c r="T210" s="40">
        <v>3</v>
      </c>
      <c r="U210" s="40">
        <v>3</v>
      </c>
      <c r="V210" s="40">
        <v>4</v>
      </c>
      <c r="W210" s="40">
        <v>4</v>
      </c>
      <c r="X210" s="40">
        <v>3</v>
      </c>
      <c r="Y210" s="40">
        <v>3</v>
      </c>
      <c r="Z210" s="40">
        <f t="shared" si="15"/>
        <v>3.5555555555555554</v>
      </c>
      <c r="AA210" s="41">
        <v>5</v>
      </c>
      <c r="AB210" s="41">
        <v>5</v>
      </c>
      <c r="AC210" s="41">
        <v>5</v>
      </c>
      <c r="AD210" s="41">
        <v>3</v>
      </c>
      <c r="AE210" s="41">
        <v>5</v>
      </c>
      <c r="AF210" s="41">
        <v>5</v>
      </c>
      <c r="AG210" s="41">
        <v>5</v>
      </c>
      <c r="AH210" s="41">
        <v>3</v>
      </c>
      <c r="AI210" s="41">
        <v>5</v>
      </c>
      <c r="AJ210" s="41">
        <f t="shared" si="16"/>
        <v>4.5555555555555554</v>
      </c>
      <c r="AK210" s="40"/>
      <c r="AL210" s="40"/>
      <c r="AM210" s="40"/>
      <c r="AN210" s="40"/>
      <c r="AO210" s="40"/>
      <c r="AP210" s="40"/>
      <c r="AQ210" s="40"/>
      <c r="AR210" s="40"/>
      <c r="AS210" s="40"/>
      <c r="AT210" s="40"/>
      <c r="AU210" s="40"/>
      <c r="AV210" s="40">
        <v>5</v>
      </c>
      <c r="AW210" s="42"/>
      <c r="AX210" s="42">
        <v>3</v>
      </c>
      <c r="AY210" s="42">
        <v>4</v>
      </c>
      <c r="AZ210" s="42"/>
      <c r="BA210" s="42">
        <f t="shared" si="17"/>
        <v>3.5</v>
      </c>
      <c r="BB210" s="43">
        <v>5</v>
      </c>
      <c r="BC210" s="43"/>
      <c r="BD210" s="44"/>
      <c r="BE210" s="44"/>
      <c r="BF210" s="45">
        <v>5</v>
      </c>
      <c r="BG210" s="45">
        <v>5</v>
      </c>
      <c r="BH210" s="45">
        <v>5</v>
      </c>
      <c r="BI210" s="45">
        <f t="shared" si="14"/>
        <v>5</v>
      </c>
    </row>
    <row r="211" spans="1:61" ht="16.5" customHeight="1">
      <c r="A211" s="48">
        <v>217</v>
      </c>
      <c r="B211" s="49" t="b">
        <v>0</v>
      </c>
      <c r="C211" s="37" t="s">
        <v>119</v>
      </c>
      <c r="D211" s="37"/>
      <c r="E211" s="38" t="s">
        <v>72</v>
      </c>
      <c r="F211" s="54" t="s">
        <v>63</v>
      </c>
      <c r="G211" s="54" t="s">
        <v>78</v>
      </c>
      <c r="H211" s="54">
        <v>2022</v>
      </c>
      <c r="I211" s="39" t="s">
        <v>65</v>
      </c>
      <c r="J211" s="55" t="s">
        <v>83</v>
      </c>
      <c r="K211" s="55"/>
      <c r="L211" s="39">
        <v>2.5</v>
      </c>
      <c r="M211" s="55"/>
      <c r="N211" s="55" t="s">
        <v>70</v>
      </c>
      <c r="O211" s="55"/>
      <c r="P211" s="55"/>
      <c r="Q211" s="40">
        <v>3</v>
      </c>
      <c r="R211" s="40">
        <v>4</v>
      </c>
      <c r="S211" s="40">
        <v>4</v>
      </c>
      <c r="T211" s="40">
        <v>4</v>
      </c>
      <c r="U211" s="40">
        <v>4</v>
      </c>
      <c r="V211" s="40">
        <v>4</v>
      </c>
      <c r="W211" s="40">
        <v>4</v>
      </c>
      <c r="X211" s="40">
        <v>4</v>
      </c>
      <c r="Y211" s="40">
        <v>3</v>
      </c>
      <c r="Z211" s="40">
        <f t="shared" si="15"/>
        <v>3.7777777777777777</v>
      </c>
      <c r="AA211" s="41">
        <v>4</v>
      </c>
      <c r="AB211" s="41">
        <v>4</v>
      </c>
      <c r="AC211" s="41">
        <v>4</v>
      </c>
      <c r="AD211" s="41">
        <v>4</v>
      </c>
      <c r="AE211" s="41">
        <v>4</v>
      </c>
      <c r="AF211" s="41">
        <v>4</v>
      </c>
      <c r="AG211" s="41">
        <v>4</v>
      </c>
      <c r="AH211" s="41">
        <v>4</v>
      </c>
      <c r="AI211" s="41">
        <v>4</v>
      </c>
      <c r="AJ211" s="41">
        <f t="shared" si="16"/>
        <v>4</v>
      </c>
      <c r="AK211" s="40"/>
      <c r="AL211" s="40"/>
      <c r="AM211" s="40"/>
      <c r="AN211" s="40"/>
      <c r="AO211" s="40"/>
      <c r="AP211" s="40"/>
      <c r="AQ211" s="40"/>
      <c r="AR211" s="40"/>
      <c r="AS211" s="40"/>
      <c r="AT211" s="40"/>
      <c r="AU211" s="40"/>
      <c r="AV211" s="40"/>
      <c r="AW211" s="42">
        <v>1</v>
      </c>
      <c r="AX211" s="42">
        <v>4</v>
      </c>
      <c r="AY211" s="42">
        <v>4</v>
      </c>
      <c r="AZ211" s="42"/>
      <c r="BA211" s="42">
        <f t="shared" si="17"/>
        <v>3</v>
      </c>
      <c r="BB211" s="43">
        <v>5</v>
      </c>
      <c r="BC211" s="43"/>
      <c r="BD211" s="44">
        <v>4</v>
      </c>
      <c r="BE211" s="44">
        <v>4</v>
      </c>
      <c r="BF211" s="45">
        <v>4</v>
      </c>
      <c r="BG211" s="45">
        <v>4</v>
      </c>
      <c r="BH211" s="45">
        <v>4</v>
      </c>
      <c r="BI211" s="45">
        <f t="shared" si="14"/>
        <v>4.166666666666667</v>
      </c>
    </row>
    <row r="212" spans="1:61" ht="16.5" customHeight="1">
      <c r="A212" s="48">
        <v>218</v>
      </c>
      <c r="B212" s="49" t="b">
        <v>1</v>
      </c>
      <c r="C212" s="37" t="s">
        <v>119</v>
      </c>
      <c r="D212" s="37"/>
      <c r="E212" s="38" t="s">
        <v>75</v>
      </c>
      <c r="F212" s="54" t="s">
        <v>63</v>
      </c>
      <c r="G212" s="54" t="s">
        <v>78</v>
      </c>
      <c r="H212" s="54">
        <v>2022</v>
      </c>
      <c r="I212" s="39" t="s">
        <v>65</v>
      </c>
      <c r="J212" s="55" t="s">
        <v>83</v>
      </c>
      <c r="K212" s="55" t="s">
        <v>65</v>
      </c>
      <c r="L212" s="55">
        <v>3</v>
      </c>
      <c r="M212" s="55"/>
      <c r="N212" s="55"/>
      <c r="O212" s="55" t="s">
        <v>70</v>
      </c>
      <c r="P212" s="55"/>
      <c r="Q212" s="40">
        <v>3</v>
      </c>
      <c r="R212" s="40">
        <v>3</v>
      </c>
      <c r="S212" s="40">
        <v>3</v>
      </c>
      <c r="T212" s="40">
        <v>3</v>
      </c>
      <c r="U212" s="40">
        <v>3</v>
      </c>
      <c r="V212" s="40">
        <v>3</v>
      </c>
      <c r="W212" s="40">
        <v>2</v>
      </c>
      <c r="X212" s="40">
        <v>2</v>
      </c>
      <c r="Y212" s="40">
        <v>2</v>
      </c>
      <c r="Z212" s="40">
        <f t="shared" si="15"/>
        <v>2.6666666666666665</v>
      </c>
      <c r="AA212" s="41">
        <v>4</v>
      </c>
      <c r="AB212" s="41">
        <v>3</v>
      </c>
      <c r="AC212" s="41">
        <v>4</v>
      </c>
      <c r="AD212" s="41">
        <v>4</v>
      </c>
      <c r="AE212" s="41">
        <v>3</v>
      </c>
      <c r="AF212" s="41">
        <v>2</v>
      </c>
      <c r="AG212" s="41">
        <v>4</v>
      </c>
      <c r="AH212" s="41">
        <v>3</v>
      </c>
      <c r="AI212" s="41">
        <v>2</v>
      </c>
      <c r="AJ212" s="41">
        <f t="shared" si="16"/>
        <v>3.2222222222222223</v>
      </c>
      <c r="AK212" s="40"/>
      <c r="AL212" s="40"/>
      <c r="AM212" s="40"/>
      <c r="AN212" s="40"/>
      <c r="AO212" s="40"/>
      <c r="AP212" s="40"/>
      <c r="AQ212" s="40"/>
      <c r="AR212" s="40"/>
      <c r="AS212" s="40"/>
      <c r="AT212" s="40"/>
      <c r="AU212" s="40"/>
      <c r="AV212" s="40">
        <v>4</v>
      </c>
      <c r="AW212" s="42">
        <v>3</v>
      </c>
      <c r="AX212" s="42">
        <v>3</v>
      </c>
      <c r="AY212" s="42">
        <v>3</v>
      </c>
      <c r="AZ212" s="42"/>
      <c r="BA212" s="42">
        <f t="shared" si="17"/>
        <v>3</v>
      </c>
      <c r="BB212" s="43">
        <v>5</v>
      </c>
      <c r="BC212" s="43"/>
      <c r="BD212" s="44">
        <v>4</v>
      </c>
      <c r="BE212" s="44">
        <v>4</v>
      </c>
      <c r="BF212" s="45">
        <v>4</v>
      </c>
      <c r="BG212" s="45">
        <v>4</v>
      </c>
      <c r="BH212" s="45">
        <v>4</v>
      </c>
      <c r="BI212" s="45">
        <f t="shared" si="14"/>
        <v>4.166666666666667</v>
      </c>
    </row>
    <row r="213" spans="1:61" ht="16.5" customHeight="1">
      <c r="A213" s="48">
        <v>219</v>
      </c>
      <c r="B213" s="49" t="b">
        <v>0</v>
      </c>
      <c r="C213" s="37" t="s">
        <v>204</v>
      </c>
      <c r="D213" s="37"/>
      <c r="E213" s="38" t="s">
        <v>205</v>
      </c>
      <c r="F213" s="54" t="s">
        <v>113</v>
      </c>
      <c r="G213" s="54" t="s">
        <v>78</v>
      </c>
      <c r="H213" s="54"/>
      <c r="I213" s="39" t="s">
        <v>65</v>
      </c>
      <c r="J213" s="39" t="s">
        <v>65</v>
      </c>
      <c r="K213" s="55"/>
      <c r="L213" s="39">
        <v>2.5</v>
      </c>
      <c r="M213" s="55"/>
      <c r="N213" s="55"/>
      <c r="O213" s="55"/>
      <c r="P213" s="55"/>
      <c r="Q213" s="40">
        <v>3</v>
      </c>
      <c r="R213" s="40">
        <v>3</v>
      </c>
      <c r="S213" s="40">
        <v>3</v>
      </c>
      <c r="T213" s="40">
        <v>3</v>
      </c>
      <c r="U213" s="40">
        <v>3</v>
      </c>
      <c r="V213" s="40">
        <v>2</v>
      </c>
      <c r="W213" s="40">
        <v>3</v>
      </c>
      <c r="X213" s="40">
        <v>3</v>
      </c>
      <c r="Y213" s="40">
        <v>3</v>
      </c>
      <c r="Z213" s="40">
        <f t="shared" si="15"/>
        <v>2.8888888888888888</v>
      </c>
      <c r="AA213" s="41">
        <v>1</v>
      </c>
      <c r="AB213" s="41">
        <v>1</v>
      </c>
      <c r="AC213" s="41">
        <v>2</v>
      </c>
      <c r="AD213" s="41">
        <v>3</v>
      </c>
      <c r="AE213" s="41">
        <v>4</v>
      </c>
      <c r="AF213" s="41">
        <v>3</v>
      </c>
      <c r="AG213" s="41">
        <v>2</v>
      </c>
      <c r="AH213" s="41">
        <v>1</v>
      </c>
      <c r="AI213" s="41">
        <v>2</v>
      </c>
      <c r="AJ213" s="41">
        <f t="shared" si="16"/>
        <v>2.1111111111111112</v>
      </c>
      <c r="AK213" s="40"/>
      <c r="AL213" s="40"/>
      <c r="AM213" s="40"/>
      <c r="AN213" s="40"/>
      <c r="AO213" s="40"/>
      <c r="AP213" s="40"/>
      <c r="AQ213" s="40"/>
      <c r="AR213" s="40"/>
      <c r="AS213" s="40"/>
      <c r="AT213" s="40"/>
      <c r="AU213" s="40"/>
      <c r="AV213" s="40">
        <v>1</v>
      </c>
      <c r="AW213" s="42">
        <v>4</v>
      </c>
      <c r="AX213" s="42">
        <v>4</v>
      </c>
      <c r="AY213" s="42">
        <v>3</v>
      </c>
      <c r="AZ213" s="42"/>
      <c r="BA213" s="42">
        <f t="shared" si="17"/>
        <v>3.6666666666666665</v>
      </c>
      <c r="BB213" s="43">
        <v>3</v>
      </c>
      <c r="BC213" s="43"/>
      <c r="BD213" s="44"/>
      <c r="BE213" s="44"/>
      <c r="BF213" s="45">
        <v>4</v>
      </c>
      <c r="BG213" s="45">
        <v>4</v>
      </c>
      <c r="BH213" s="45">
        <v>4</v>
      </c>
      <c r="BI213" s="45">
        <f t="shared" si="14"/>
        <v>3.75</v>
      </c>
    </row>
    <row r="214" spans="1:61" ht="16.5" customHeight="1">
      <c r="A214" s="48">
        <v>220</v>
      </c>
      <c r="B214" s="49" t="b">
        <v>0</v>
      </c>
      <c r="C214" s="37" t="s">
        <v>204</v>
      </c>
      <c r="D214" s="37"/>
      <c r="E214" s="38" t="s">
        <v>62</v>
      </c>
      <c r="F214" s="54" t="s">
        <v>105</v>
      </c>
      <c r="G214" s="54" t="s">
        <v>64</v>
      </c>
      <c r="H214" s="54"/>
      <c r="I214" s="39" t="s">
        <v>65</v>
      </c>
      <c r="J214" s="39" t="s">
        <v>65</v>
      </c>
      <c r="K214" s="55"/>
      <c r="L214" s="39">
        <v>2.5</v>
      </c>
      <c r="M214" s="55"/>
      <c r="N214" s="55"/>
      <c r="O214" s="55"/>
      <c r="P214" s="55"/>
      <c r="Q214" s="40">
        <v>4</v>
      </c>
      <c r="R214" s="40">
        <v>3</v>
      </c>
      <c r="S214" s="40">
        <v>4</v>
      </c>
      <c r="T214" s="40">
        <v>4</v>
      </c>
      <c r="U214" s="40">
        <v>4</v>
      </c>
      <c r="V214" s="40">
        <v>4</v>
      </c>
      <c r="W214" s="40">
        <v>3</v>
      </c>
      <c r="X214" s="40">
        <v>4</v>
      </c>
      <c r="Y214" s="40">
        <v>4</v>
      </c>
      <c r="Z214" s="40">
        <f t="shared" si="15"/>
        <v>3.7777777777777777</v>
      </c>
      <c r="AA214" s="41">
        <v>1</v>
      </c>
      <c r="AB214" s="41">
        <v>1</v>
      </c>
      <c r="AC214" s="41">
        <v>3</v>
      </c>
      <c r="AD214" s="41">
        <v>4</v>
      </c>
      <c r="AE214" s="41">
        <v>4</v>
      </c>
      <c r="AF214" s="41">
        <v>4</v>
      </c>
      <c r="AG214" s="41">
        <v>4</v>
      </c>
      <c r="AH214" s="41">
        <v>3</v>
      </c>
      <c r="AI214" s="41">
        <v>4</v>
      </c>
      <c r="AJ214" s="41">
        <f t="shared" si="16"/>
        <v>3.1111111111111112</v>
      </c>
      <c r="AK214" s="40"/>
      <c r="AL214" s="40"/>
      <c r="AM214" s="40"/>
      <c r="AN214" s="40"/>
      <c r="AO214" s="40"/>
      <c r="AP214" s="40"/>
      <c r="AQ214" s="40"/>
      <c r="AR214" s="40"/>
      <c r="AS214" s="40"/>
      <c r="AT214" s="40"/>
      <c r="AU214" s="40"/>
      <c r="AV214" s="40">
        <v>1</v>
      </c>
      <c r="AW214" s="42">
        <v>5</v>
      </c>
      <c r="AX214" s="42">
        <v>5</v>
      </c>
      <c r="AY214" s="42"/>
      <c r="AZ214" s="42"/>
      <c r="BA214" s="42">
        <f t="shared" si="17"/>
        <v>5</v>
      </c>
      <c r="BB214" s="43">
        <v>4</v>
      </c>
      <c r="BC214" s="43">
        <v>4</v>
      </c>
      <c r="BD214" s="44">
        <v>5</v>
      </c>
      <c r="BE214" s="44"/>
      <c r="BF214" s="45">
        <v>5</v>
      </c>
      <c r="BG214" s="45">
        <v>5</v>
      </c>
      <c r="BH214" s="45"/>
      <c r="BI214" s="45">
        <f t="shared" si="14"/>
        <v>4.5999999999999996</v>
      </c>
    </row>
    <row r="215" spans="1:61" ht="16.5" customHeight="1">
      <c r="A215" s="48">
        <v>221</v>
      </c>
      <c r="B215" s="49" t="b">
        <v>0</v>
      </c>
      <c r="C215" s="37" t="s">
        <v>204</v>
      </c>
      <c r="D215" s="37"/>
      <c r="E215" s="38" t="s">
        <v>96</v>
      </c>
      <c r="F215" s="54" t="s">
        <v>74</v>
      </c>
      <c r="G215" s="54"/>
      <c r="H215" s="54"/>
      <c r="I215" s="39" t="s">
        <v>65</v>
      </c>
      <c r="J215" s="39" t="s">
        <v>65</v>
      </c>
      <c r="K215" s="55"/>
      <c r="L215" s="39">
        <v>2.5</v>
      </c>
      <c r="M215" s="55"/>
      <c r="N215" s="55"/>
      <c r="O215" s="55"/>
      <c r="P215" s="55"/>
      <c r="Q215" s="40">
        <v>3</v>
      </c>
      <c r="R215" s="40">
        <v>3</v>
      </c>
      <c r="S215" s="40">
        <v>3</v>
      </c>
      <c r="T215" s="40">
        <v>4</v>
      </c>
      <c r="U215" s="40">
        <v>3</v>
      </c>
      <c r="V215" s="40">
        <v>4</v>
      </c>
      <c r="W215" s="40">
        <v>4</v>
      </c>
      <c r="X215" s="40">
        <v>3</v>
      </c>
      <c r="Y215" s="40">
        <v>3</v>
      </c>
      <c r="Z215" s="40">
        <f t="shared" si="15"/>
        <v>3.3333333333333335</v>
      </c>
      <c r="AA215" s="41">
        <v>1</v>
      </c>
      <c r="AB215" s="41">
        <v>1</v>
      </c>
      <c r="AC215" s="41">
        <v>1</v>
      </c>
      <c r="AD215" s="41">
        <v>1</v>
      </c>
      <c r="AE215" s="41">
        <v>1</v>
      </c>
      <c r="AF215" s="41">
        <v>1</v>
      </c>
      <c r="AG215" s="41">
        <v>1</v>
      </c>
      <c r="AH215" s="41">
        <v>1</v>
      </c>
      <c r="AI215" s="41">
        <v>1</v>
      </c>
      <c r="AJ215" s="41">
        <f t="shared" si="16"/>
        <v>1</v>
      </c>
      <c r="AK215" s="40"/>
      <c r="AL215" s="40"/>
      <c r="AM215" s="40"/>
      <c r="AN215" s="40"/>
      <c r="AO215" s="40"/>
      <c r="AP215" s="40"/>
      <c r="AQ215" s="40"/>
      <c r="AR215" s="40"/>
      <c r="AS215" s="40"/>
      <c r="AT215" s="40"/>
      <c r="AU215" s="40"/>
      <c r="AV215" s="40">
        <v>1</v>
      </c>
      <c r="AW215" s="42">
        <v>4</v>
      </c>
      <c r="AX215" s="42">
        <v>4</v>
      </c>
      <c r="AY215" s="42"/>
      <c r="AZ215" s="42"/>
      <c r="BA215" s="42">
        <f t="shared" si="17"/>
        <v>4</v>
      </c>
      <c r="BB215" s="43">
        <v>4</v>
      </c>
      <c r="BC215" s="43">
        <v>4</v>
      </c>
      <c r="BD215" s="44">
        <v>5</v>
      </c>
      <c r="BE215" s="44"/>
      <c r="BF215" s="45"/>
      <c r="BG215" s="45">
        <v>5</v>
      </c>
      <c r="BH215" s="45"/>
      <c r="BI215" s="45">
        <f t="shared" si="14"/>
        <v>4.5</v>
      </c>
    </row>
    <row r="216" spans="1:61" ht="16.5" customHeight="1">
      <c r="A216" s="48">
        <v>222</v>
      </c>
      <c r="B216" s="49" t="b">
        <v>0</v>
      </c>
      <c r="C216" s="37" t="s">
        <v>204</v>
      </c>
      <c r="D216" s="37"/>
      <c r="E216" s="38" t="s">
        <v>73</v>
      </c>
      <c r="F216" s="54" t="s">
        <v>63</v>
      </c>
      <c r="G216" s="54" t="s">
        <v>78</v>
      </c>
      <c r="H216" s="54"/>
      <c r="I216" s="39" t="s">
        <v>65</v>
      </c>
      <c r="J216" s="39" t="s">
        <v>65</v>
      </c>
      <c r="K216" s="55"/>
      <c r="L216" s="39">
        <v>2.5</v>
      </c>
      <c r="M216" s="55"/>
      <c r="N216" s="55"/>
      <c r="O216" s="55"/>
      <c r="P216" s="55"/>
      <c r="Q216" s="40">
        <v>3</v>
      </c>
      <c r="R216" s="40">
        <v>3</v>
      </c>
      <c r="S216" s="40">
        <v>3</v>
      </c>
      <c r="T216" s="40">
        <v>3</v>
      </c>
      <c r="U216" s="40">
        <v>3</v>
      </c>
      <c r="V216" s="40">
        <v>4</v>
      </c>
      <c r="W216" s="40">
        <v>3</v>
      </c>
      <c r="X216" s="40">
        <v>3</v>
      </c>
      <c r="Y216" s="40">
        <v>3</v>
      </c>
      <c r="Z216" s="40">
        <f t="shared" si="15"/>
        <v>3.1111111111111112</v>
      </c>
      <c r="AA216" s="41">
        <v>1</v>
      </c>
      <c r="AB216" s="41">
        <v>1</v>
      </c>
      <c r="AC216" s="41">
        <v>4</v>
      </c>
      <c r="AD216" s="41">
        <v>4</v>
      </c>
      <c r="AE216" s="41">
        <v>2</v>
      </c>
      <c r="AF216" s="41">
        <v>4</v>
      </c>
      <c r="AG216" s="41">
        <v>4</v>
      </c>
      <c r="AH216" s="41">
        <v>3</v>
      </c>
      <c r="AI216" s="41">
        <v>2</v>
      </c>
      <c r="AJ216" s="41">
        <f t="shared" si="16"/>
        <v>2.7777777777777777</v>
      </c>
      <c r="AK216" s="40"/>
      <c r="AL216" s="40"/>
      <c r="AM216" s="40"/>
      <c r="AN216" s="40"/>
      <c r="AO216" s="40"/>
      <c r="AP216" s="40"/>
      <c r="AQ216" s="40"/>
      <c r="AR216" s="40"/>
      <c r="AS216" s="40"/>
      <c r="AT216" s="40"/>
      <c r="AU216" s="40"/>
      <c r="AV216" s="40">
        <v>4</v>
      </c>
      <c r="AW216" s="42">
        <v>2</v>
      </c>
      <c r="AX216" s="42">
        <v>4</v>
      </c>
      <c r="AY216" s="42"/>
      <c r="AZ216" s="42"/>
      <c r="BA216" s="42">
        <f t="shared" si="17"/>
        <v>3</v>
      </c>
      <c r="BB216" s="43">
        <v>3</v>
      </c>
      <c r="BC216" s="43"/>
      <c r="BD216" s="44"/>
      <c r="BE216" s="44"/>
      <c r="BF216" s="45">
        <v>5</v>
      </c>
      <c r="BG216" s="45">
        <v>4</v>
      </c>
      <c r="BH216" s="45"/>
      <c r="BI216" s="45">
        <f t="shared" si="14"/>
        <v>4</v>
      </c>
    </row>
    <row r="217" spans="1:61" ht="16.5" customHeight="1">
      <c r="A217" s="48">
        <v>223</v>
      </c>
      <c r="B217" s="49" t="b">
        <v>1</v>
      </c>
      <c r="C217" s="37" t="s">
        <v>204</v>
      </c>
      <c r="D217" s="37"/>
      <c r="E217" s="38" t="s">
        <v>206</v>
      </c>
      <c r="F217" s="54" t="s">
        <v>78</v>
      </c>
      <c r="G217" s="54" t="s">
        <v>78</v>
      </c>
      <c r="H217" s="54"/>
      <c r="I217" s="39" t="s">
        <v>65</v>
      </c>
      <c r="J217" s="39" t="s">
        <v>65</v>
      </c>
      <c r="K217" s="55"/>
      <c r="L217" s="39">
        <v>2.5</v>
      </c>
      <c r="M217" s="55" t="s">
        <v>70</v>
      </c>
      <c r="N217" s="55"/>
      <c r="O217" s="55" t="s">
        <v>70</v>
      </c>
      <c r="P217" s="55"/>
      <c r="Q217" s="40">
        <v>5</v>
      </c>
      <c r="R217" s="40">
        <v>5</v>
      </c>
      <c r="S217" s="40">
        <v>5</v>
      </c>
      <c r="T217" s="40">
        <v>5</v>
      </c>
      <c r="U217" s="40">
        <v>5</v>
      </c>
      <c r="V217" s="40">
        <v>5</v>
      </c>
      <c r="W217" s="40">
        <v>5</v>
      </c>
      <c r="X217" s="40">
        <v>5</v>
      </c>
      <c r="Y217" s="40">
        <v>1</v>
      </c>
      <c r="Z217" s="40">
        <f t="shared" si="15"/>
        <v>4.5555555555555554</v>
      </c>
      <c r="AA217" s="41">
        <v>5</v>
      </c>
      <c r="AB217" s="41">
        <v>5</v>
      </c>
      <c r="AC217" s="41">
        <v>5</v>
      </c>
      <c r="AD217" s="41">
        <v>5</v>
      </c>
      <c r="AE217" s="41">
        <v>5</v>
      </c>
      <c r="AF217" s="41">
        <v>5</v>
      </c>
      <c r="AG217" s="41">
        <v>5</v>
      </c>
      <c r="AH217" s="41">
        <v>5</v>
      </c>
      <c r="AI217" s="41">
        <v>5</v>
      </c>
      <c r="AJ217" s="41">
        <f t="shared" si="16"/>
        <v>5</v>
      </c>
      <c r="AK217" s="40"/>
      <c r="AL217" s="40"/>
      <c r="AM217" s="40"/>
      <c r="AN217" s="40"/>
      <c r="AO217" s="40"/>
      <c r="AP217" s="40"/>
      <c r="AQ217" s="40"/>
      <c r="AR217" s="40"/>
      <c r="AS217" s="40"/>
      <c r="AT217" s="40"/>
      <c r="AU217" s="40"/>
      <c r="AV217" s="40"/>
      <c r="AW217" s="42">
        <v>5</v>
      </c>
      <c r="AX217" s="42">
        <v>5</v>
      </c>
      <c r="AY217" s="42"/>
      <c r="AZ217" s="42"/>
      <c r="BA217" s="42">
        <f t="shared" si="17"/>
        <v>5</v>
      </c>
      <c r="BB217" s="43">
        <v>5</v>
      </c>
      <c r="BC217" s="43">
        <v>5</v>
      </c>
      <c r="BD217" s="44">
        <v>5</v>
      </c>
      <c r="BE217" s="44"/>
      <c r="BF217" s="45">
        <v>5</v>
      </c>
      <c r="BG217" s="45">
        <v>5</v>
      </c>
      <c r="BH217" s="45">
        <v>5</v>
      </c>
      <c r="BI217" s="45">
        <f t="shared" si="14"/>
        <v>5</v>
      </c>
    </row>
    <row r="218" spans="1:61" ht="16.5" customHeight="1">
      <c r="A218" s="48">
        <v>230</v>
      </c>
      <c r="B218" s="49" t="b">
        <v>1</v>
      </c>
      <c r="C218" s="37" t="s">
        <v>84</v>
      </c>
      <c r="D218" s="37" t="s">
        <v>85</v>
      </c>
      <c r="E218" s="38" t="s">
        <v>82</v>
      </c>
      <c r="F218" s="54" t="s">
        <v>105</v>
      </c>
      <c r="G218" s="54" t="s">
        <v>78</v>
      </c>
      <c r="H218" s="54"/>
      <c r="I218" s="39" t="s">
        <v>65</v>
      </c>
      <c r="J218" s="39" t="s">
        <v>65</v>
      </c>
      <c r="K218" s="39" t="s">
        <v>65</v>
      </c>
      <c r="L218" s="55">
        <v>3</v>
      </c>
      <c r="M218" s="55"/>
      <c r="N218" s="55"/>
      <c r="O218" s="55" t="s">
        <v>70</v>
      </c>
      <c r="P218" s="55" t="s">
        <v>70</v>
      </c>
      <c r="Q218" s="40">
        <v>2</v>
      </c>
      <c r="R218" s="40">
        <v>2</v>
      </c>
      <c r="S218" s="40">
        <v>3</v>
      </c>
      <c r="T218" s="40">
        <v>3</v>
      </c>
      <c r="U218" s="40">
        <v>3</v>
      </c>
      <c r="V218" s="40">
        <v>3</v>
      </c>
      <c r="W218" s="40">
        <v>3</v>
      </c>
      <c r="X218" s="40">
        <v>2</v>
      </c>
      <c r="Y218" s="40">
        <v>2</v>
      </c>
      <c r="Z218" s="40">
        <f t="shared" si="15"/>
        <v>2.5555555555555554</v>
      </c>
      <c r="AA218" s="41">
        <v>2</v>
      </c>
      <c r="AB218" s="41">
        <v>1</v>
      </c>
      <c r="AC218" s="41">
        <v>3</v>
      </c>
      <c r="AD218" s="41">
        <v>4</v>
      </c>
      <c r="AE218" s="41">
        <v>3</v>
      </c>
      <c r="AF218" s="41">
        <v>3</v>
      </c>
      <c r="AG218" s="41">
        <v>4</v>
      </c>
      <c r="AH218" s="41">
        <v>3</v>
      </c>
      <c r="AI218" s="41">
        <v>3</v>
      </c>
      <c r="AJ218" s="41">
        <f t="shared" si="16"/>
        <v>2.8888888888888888</v>
      </c>
      <c r="AK218" s="40">
        <v>2</v>
      </c>
      <c r="AL218" s="40">
        <v>1</v>
      </c>
      <c r="AM218" s="40">
        <v>4</v>
      </c>
      <c r="AN218" s="40">
        <v>4</v>
      </c>
      <c r="AO218" s="40">
        <v>3</v>
      </c>
      <c r="AP218" s="40">
        <v>4</v>
      </c>
      <c r="AQ218" s="40">
        <v>4</v>
      </c>
      <c r="AR218" s="40">
        <v>3</v>
      </c>
      <c r="AS218" s="40">
        <v>2</v>
      </c>
      <c r="AT218" s="40">
        <v>3</v>
      </c>
      <c r="AU218" s="40" t="s">
        <v>74</v>
      </c>
      <c r="AV218" s="40">
        <f>AVERAGE(AK218:AT218)</f>
        <v>3</v>
      </c>
      <c r="AW218" s="42">
        <v>3</v>
      </c>
      <c r="AX218" s="42">
        <v>1</v>
      </c>
      <c r="AY218" s="42">
        <v>4</v>
      </c>
      <c r="AZ218" s="42" t="s">
        <v>207</v>
      </c>
      <c r="BA218" s="42">
        <f t="shared" si="17"/>
        <v>2.6666666666666665</v>
      </c>
      <c r="BB218" s="43">
        <v>3</v>
      </c>
      <c r="BC218" s="43">
        <v>2</v>
      </c>
      <c r="BD218" s="44">
        <v>4</v>
      </c>
      <c r="BE218" s="44"/>
      <c r="BF218" s="45">
        <v>4</v>
      </c>
      <c r="BG218" s="45">
        <v>2</v>
      </c>
      <c r="BH218" s="45">
        <v>4</v>
      </c>
      <c r="BI218" s="45">
        <f t="shared" si="14"/>
        <v>3.1666666666666665</v>
      </c>
    </row>
    <row r="219" spans="1:61" ht="16.5" customHeight="1">
      <c r="A219" s="48">
        <v>231</v>
      </c>
      <c r="B219" s="49" t="b">
        <v>1</v>
      </c>
      <c r="C219" s="37" t="s">
        <v>151</v>
      </c>
      <c r="D219" s="37" t="s">
        <v>85</v>
      </c>
      <c r="E219" s="38" t="s">
        <v>208</v>
      </c>
      <c r="F219" s="54" t="s">
        <v>78</v>
      </c>
      <c r="G219" s="54" t="s">
        <v>64</v>
      </c>
      <c r="H219" s="54"/>
      <c r="I219" s="39" t="s">
        <v>65</v>
      </c>
      <c r="J219" s="55" t="s">
        <v>87</v>
      </c>
      <c r="K219" s="55" t="s">
        <v>65</v>
      </c>
      <c r="L219" s="55">
        <v>3</v>
      </c>
      <c r="M219" s="55"/>
      <c r="N219" s="55"/>
      <c r="O219" s="55" t="s">
        <v>70</v>
      </c>
      <c r="P219" s="55"/>
      <c r="Q219" s="40">
        <v>4</v>
      </c>
      <c r="R219" s="40">
        <v>4</v>
      </c>
      <c r="S219" s="40">
        <v>4</v>
      </c>
      <c r="T219" s="40">
        <v>4</v>
      </c>
      <c r="U219" s="40">
        <v>3</v>
      </c>
      <c r="V219" s="40">
        <v>4</v>
      </c>
      <c r="W219" s="40">
        <v>3</v>
      </c>
      <c r="X219" s="40">
        <v>3</v>
      </c>
      <c r="Y219" s="40">
        <v>3</v>
      </c>
      <c r="Z219" s="40">
        <f t="shared" si="15"/>
        <v>3.5555555555555554</v>
      </c>
      <c r="AA219" s="41">
        <v>3</v>
      </c>
      <c r="AB219" s="41">
        <v>2</v>
      </c>
      <c r="AC219" s="41">
        <v>3</v>
      </c>
      <c r="AD219" s="41">
        <v>3</v>
      </c>
      <c r="AE219" s="41">
        <v>3</v>
      </c>
      <c r="AF219" s="41">
        <v>2</v>
      </c>
      <c r="AG219" s="41">
        <v>2</v>
      </c>
      <c r="AH219" s="41">
        <v>3</v>
      </c>
      <c r="AI219" s="41">
        <v>3</v>
      </c>
      <c r="AJ219" s="41">
        <f t="shared" si="16"/>
        <v>2.6666666666666665</v>
      </c>
      <c r="AK219" s="40">
        <v>2</v>
      </c>
      <c r="AL219" s="40">
        <v>3</v>
      </c>
      <c r="AM219" s="40">
        <v>4</v>
      </c>
      <c r="AN219" s="40">
        <v>4</v>
      </c>
      <c r="AO219" s="40">
        <v>1</v>
      </c>
      <c r="AP219" s="40">
        <v>1</v>
      </c>
      <c r="AQ219" s="40">
        <v>2</v>
      </c>
      <c r="AR219" s="40">
        <v>3</v>
      </c>
      <c r="AS219" s="40">
        <v>3</v>
      </c>
      <c r="AT219" s="40">
        <v>1</v>
      </c>
      <c r="AU219" s="40"/>
      <c r="AV219" s="40">
        <f t="shared" ref="AV219:AV256" si="18">AVERAGE(AK219:AT219)</f>
        <v>2.4</v>
      </c>
      <c r="AW219" s="42">
        <v>2</v>
      </c>
      <c r="AX219" s="42">
        <v>1</v>
      </c>
      <c r="AY219" s="42">
        <v>2</v>
      </c>
      <c r="AZ219" s="42" t="s">
        <v>209</v>
      </c>
      <c r="BA219" s="42">
        <f t="shared" si="17"/>
        <v>1.6666666666666667</v>
      </c>
      <c r="BB219" s="43">
        <v>5</v>
      </c>
      <c r="BC219" s="43"/>
      <c r="BD219" s="44"/>
      <c r="BE219" s="44"/>
      <c r="BF219" s="45">
        <v>1</v>
      </c>
      <c r="BG219" s="45">
        <v>4</v>
      </c>
      <c r="BH219" s="45">
        <v>3</v>
      </c>
      <c r="BI219" s="45">
        <f t="shared" si="14"/>
        <v>3.25</v>
      </c>
    </row>
    <row r="220" spans="1:61" ht="16.5" customHeight="1">
      <c r="A220" s="48">
        <v>232</v>
      </c>
      <c r="B220" s="49" t="b">
        <v>1</v>
      </c>
      <c r="C220" s="37" t="s">
        <v>210</v>
      </c>
      <c r="D220" s="37" t="s">
        <v>211</v>
      </c>
      <c r="E220" s="38" t="s">
        <v>96</v>
      </c>
      <c r="F220" s="54" t="s">
        <v>78</v>
      </c>
      <c r="G220" s="54" t="s">
        <v>78</v>
      </c>
      <c r="H220" s="54"/>
      <c r="I220" s="39" t="s">
        <v>65</v>
      </c>
      <c r="J220" s="39" t="s">
        <v>65</v>
      </c>
      <c r="K220" s="39" t="s">
        <v>65</v>
      </c>
      <c r="L220" s="55">
        <v>3</v>
      </c>
      <c r="M220" s="55"/>
      <c r="N220" s="55"/>
      <c r="O220" s="55" t="s">
        <v>70</v>
      </c>
      <c r="P220" s="55" t="s">
        <v>70</v>
      </c>
      <c r="Q220" s="40">
        <v>1</v>
      </c>
      <c r="R220" s="40">
        <v>3</v>
      </c>
      <c r="S220" s="40">
        <v>3</v>
      </c>
      <c r="T220" s="40">
        <v>2</v>
      </c>
      <c r="U220" s="40">
        <v>3</v>
      </c>
      <c r="V220" s="40">
        <v>2</v>
      </c>
      <c r="W220" s="40">
        <v>2</v>
      </c>
      <c r="X220" s="40">
        <v>2</v>
      </c>
      <c r="Y220" s="40">
        <v>2</v>
      </c>
      <c r="Z220" s="40">
        <f t="shared" si="15"/>
        <v>2.2222222222222223</v>
      </c>
      <c r="AA220" s="41">
        <v>1</v>
      </c>
      <c r="AB220" s="41">
        <v>1</v>
      </c>
      <c r="AC220" s="41">
        <v>2</v>
      </c>
      <c r="AD220" s="41">
        <v>3</v>
      </c>
      <c r="AE220" s="41">
        <v>2</v>
      </c>
      <c r="AF220" s="41">
        <v>3</v>
      </c>
      <c r="AG220" s="41">
        <v>3</v>
      </c>
      <c r="AH220" s="41">
        <v>2</v>
      </c>
      <c r="AI220" s="41">
        <v>3</v>
      </c>
      <c r="AJ220" s="41">
        <f t="shared" si="16"/>
        <v>2.2222222222222223</v>
      </c>
      <c r="AK220" s="40">
        <v>1</v>
      </c>
      <c r="AL220" s="40">
        <v>1</v>
      </c>
      <c r="AM220" s="40">
        <v>4</v>
      </c>
      <c r="AN220" s="40">
        <v>3</v>
      </c>
      <c r="AO220" s="40">
        <v>4</v>
      </c>
      <c r="AP220" s="40">
        <v>2</v>
      </c>
      <c r="AQ220" s="40">
        <v>4</v>
      </c>
      <c r="AR220" s="40">
        <v>2</v>
      </c>
      <c r="AS220" s="40">
        <v>2</v>
      </c>
      <c r="AT220" s="40">
        <v>3</v>
      </c>
      <c r="AU220" s="40" t="s">
        <v>74</v>
      </c>
      <c r="AV220" s="40">
        <f t="shared" si="18"/>
        <v>2.6</v>
      </c>
      <c r="AW220" s="42">
        <v>4</v>
      </c>
      <c r="AX220" s="42">
        <v>5</v>
      </c>
      <c r="AY220" s="42">
        <v>5</v>
      </c>
      <c r="AZ220" s="42" t="s">
        <v>209</v>
      </c>
      <c r="BA220" s="42">
        <f t="shared" si="17"/>
        <v>4.666666666666667</v>
      </c>
      <c r="BB220" s="43">
        <v>3</v>
      </c>
      <c r="BC220" s="43">
        <v>3</v>
      </c>
      <c r="BD220" s="44">
        <v>4</v>
      </c>
      <c r="BE220" s="44"/>
      <c r="BF220" s="45">
        <v>2</v>
      </c>
      <c r="BG220" s="45">
        <v>3</v>
      </c>
      <c r="BH220" s="45">
        <v>2</v>
      </c>
      <c r="BI220" s="45">
        <f t="shared" si="14"/>
        <v>2.8333333333333335</v>
      </c>
    </row>
    <row r="221" spans="1:61" ht="16.5" customHeight="1">
      <c r="A221" s="48">
        <v>233</v>
      </c>
      <c r="B221" s="49" t="b">
        <v>1</v>
      </c>
      <c r="C221" s="37" t="s">
        <v>212</v>
      </c>
      <c r="D221" s="37" t="s">
        <v>213</v>
      </c>
      <c r="E221" s="38" t="s">
        <v>82</v>
      </c>
      <c r="F221" s="54" t="s">
        <v>74</v>
      </c>
      <c r="G221" s="54" t="s">
        <v>78</v>
      </c>
      <c r="H221" s="54"/>
      <c r="I221" s="55" t="s">
        <v>65</v>
      </c>
      <c r="J221" s="55" t="s">
        <v>87</v>
      </c>
      <c r="K221" s="55"/>
      <c r="L221" s="55" t="s">
        <v>92</v>
      </c>
      <c r="M221" s="55"/>
      <c r="N221" s="55"/>
      <c r="O221" s="55"/>
      <c r="P221" s="55"/>
      <c r="Q221" s="40">
        <v>5</v>
      </c>
      <c r="R221" s="40">
        <v>5</v>
      </c>
      <c r="S221" s="40">
        <v>4</v>
      </c>
      <c r="T221" s="40">
        <v>5</v>
      </c>
      <c r="U221" s="40">
        <v>4</v>
      </c>
      <c r="V221" s="40">
        <v>5</v>
      </c>
      <c r="W221" s="40">
        <v>3</v>
      </c>
      <c r="X221" s="40">
        <v>3</v>
      </c>
      <c r="Y221" s="40">
        <v>4</v>
      </c>
      <c r="Z221" s="40">
        <f t="shared" si="15"/>
        <v>4.2222222222222223</v>
      </c>
      <c r="AA221" s="41">
        <v>4</v>
      </c>
      <c r="AB221" s="41">
        <v>4</v>
      </c>
      <c r="AC221" s="41">
        <v>4</v>
      </c>
      <c r="AD221" s="41">
        <v>5</v>
      </c>
      <c r="AE221" s="41">
        <v>4</v>
      </c>
      <c r="AF221" s="41">
        <v>4</v>
      </c>
      <c r="AG221" s="41">
        <v>5</v>
      </c>
      <c r="AH221" s="41">
        <v>5</v>
      </c>
      <c r="AI221" s="41">
        <v>5</v>
      </c>
      <c r="AJ221" s="41">
        <f t="shared" si="16"/>
        <v>4.4444444444444446</v>
      </c>
      <c r="AK221" s="40">
        <v>5</v>
      </c>
      <c r="AL221" s="40">
        <v>5</v>
      </c>
      <c r="AM221" s="40">
        <v>4</v>
      </c>
      <c r="AN221" s="40">
        <v>4</v>
      </c>
      <c r="AO221" s="40">
        <v>5</v>
      </c>
      <c r="AP221" s="40">
        <v>4</v>
      </c>
      <c r="AQ221" s="40">
        <v>4</v>
      </c>
      <c r="AR221" s="40">
        <v>5</v>
      </c>
      <c r="AS221" s="40">
        <v>5</v>
      </c>
      <c r="AT221" s="40">
        <v>5</v>
      </c>
      <c r="AU221" s="40" t="s">
        <v>74</v>
      </c>
      <c r="AV221" s="40">
        <f t="shared" si="18"/>
        <v>4.5999999999999996</v>
      </c>
      <c r="AW221" s="42">
        <v>5</v>
      </c>
      <c r="AX221" s="42">
        <v>5</v>
      </c>
      <c r="AY221" s="42"/>
      <c r="AZ221" s="42" t="s">
        <v>209</v>
      </c>
      <c r="BA221" s="42">
        <f t="shared" si="17"/>
        <v>5</v>
      </c>
      <c r="BB221" s="43">
        <v>5</v>
      </c>
      <c r="BC221" s="56"/>
      <c r="BD221" s="44"/>
      <c r="BE221" s="44"/>
      <c r="BF221" s="45">
        <v>4</v>
      </c>
      <c r="BG221" s="45">
        <v>5</v>
      </c>
      <c r="BH221" s="45"/>
      <c r="BI221" s="45">
        <f t="shared" si="14"/>
        <v>4.666666666666667</v>
      </c>
    </row>
    <row r="222" spans="1:61" ht="16.5" customHeight="1">
      <c r="A222" s="48">
        <v>234</v>
      </c>
      <c r="B222" s="49" t="b">
        <v>1</v>
      </c>
      <c r="C222" s="37" t="s">
        <v>214</v>
      </c>
      <c r="D222" s="37" t="s">
        <v>215</v>
      </c>
      <c r="E222" s="38" t="s">
        <v>75</v>
      </c>
      <c r="F222" s="54" t="s">
        <v>78</v>
      </c>
      <c r="G222" s="54" t="s">
        <v>78</v>
      </c>
      <c r="H222" s="54"/>
      <c r="I222" s="39" t="s">
        <v>65</v>
      </c>
      <c r="J222" s="39" t="s">
        <v>65</v>
      </c>
      <c r="K222" s="55"/>
      <c r="L222" s="39">
        <v>2.5</v>
      </c>
      <c r="M222" s="55"/>
      <c r="N222" s="55"/>
      <c r="O222" s="55"/>
      <c r="P222" s="55"/>
      <c r="Q222" s="40">
        <v>4</v>
      </c>
      <c r="R222" s="40">
        <v>3</v>
      </c>
      <c r="S222" s="40">
        <v>3</v>
      </c>
      <c r="T222" s="40">
        <v>3</v>
      </c>
      <c r="U222" s="40">
        <v>3</v>
      </c>
      <c r="V222" s="40">
        <v>3</v>
      </c>
      <c r="W222" s="40">
        <v>3</v>
      </c>
      <c r="X222" s="40">
        <v>3</v>
      </c>
      <c r="Y222" s="40">
        <v>3</v>
      </c>
      <c r="Z222" s="40">
        <f t="shared" si="15"/>
        <v>3.1111111111111112</v>
      </c>
      <c r="AA222" s="41">
        <v>4</v>
      </c>
      <c r="AB222" s="41">
        <v>1</v>
      </c>
      <c r="AC222" s="41">
        <v>1</v>
      </c>
      <c r="AD222" s="41">
        <v>1</v>
      </c>
      <c r="AE222" s="41">
        <v>1</v>
      </c>
      <c r="AF222" s="41">
        <v>1</v>
      </c>
      <c r="AG222" s="41">
        <v>1</v>
      </c>
      <c r="AH222" s="41">
        <v>1</v>
      </c>
      <c r="AI222" s="41">
        <v>1</v>
      </c>
      <c r="AJ222" s="41">
        <f t="shared" si="16"/>
        <v>1.3333333333333333</v>
      </c>
      <c r="AK222" s="40">
        <v>3</v>
      </c>
      <c r="AL222" s="40">
        <v>1</v>
      </c>
      <c r="AM222" s="40">
        <v>1</v>
      </c>
      <c r="AN222" s="40">
        <v>2</v>
      </c>
      <c r="AO222" s="40">
        <v>1</v>
      </c>
      <c r="AP222" s="40">
        <v>2</v>
      </c>
      <c r="AQ222" s="40">
        <v>1</v>
      </c>
      <c r="AR222" s="40">
        <v>1</v>
      </c>
      <c r="AS222" s="40">
        <v>2</v>
      </c>
      <c r="AT222" s="40">
        <v>5</v>
      </c>
      <c r="AU222" s="40" t="s">
        <v>74</v>
      </c>
      <c r="AV222" s="40">
        <f t="shared" si="18"/>
        <v>1.9</v>
      </c>
      <c r="AW222" s="42">
        <v>4</v>
      </c>
      <c r="AX222" s="42"/>
      <c r="AY222" s="42"/>
      <c r="AZ222" s="42" t="s">
        <v>209</v>
      </c>
      <c r="BA222" s="42">
        <f t="shared" si="17"/>
        <v>4</v>
      </c>
      <c r="BB222" s="43">
        <v>2</v>
      </c>
      <c r="BC222" s="43">
        <v>4</v>
      </c>
      <c r="BD222" s="44">
        <v>5</v>
      </c>
      <c r="BE222" s="44"/>
      <c r="BF222" s="45">
        <v>1</v>
      </c>
      <c r="BG222" s="45">
        <v>1</v>
      </c>
      <c r="BH222" s="45"/>
      <c r="BI222" s="45">
        <f t="shared" si="14"/>
        <v>2.6</v>
      </c>
    </row>
    <row r="223" spans="1:61" ht="16.5" customHeight="1">
      <c r="A223" s="48">
        <v>235</v>
      </c>
      <c r="B223" s="49" t="b">
        <v>1</v>
      </c>
      <c r="C223" s="37" t="s">
        <v>151</v>
      </c>
      <c r="D223" s="37" t="s">
        <v>134</v>
      </c>
      <c r="E223" s="38" t="s">
        <v>96</v>
      </c>
      <c r="F223" s="54" t="s">
        <v>105</v>
      </c>
      <c r="G223" s="54" t="s">
        <v>78</v>
      </c>
      <c r="H223" s="54"/>
      <c r="I223" s="39" t="s">
        <v>65</v>
      </c>
      <c r="J223" s="55" t="s">
        <v>87</v>
      </c>
      <c r="K223" s="55"/>
      <c r="L223" s="39">
        <v>2.5</v>
      </c>
      <c r="M223" s="55"/>
      <c r="N223" s="55"/>
      <c r="O223" s="55" t="s">
        <v>70</v>
      </c>
      <c r="P223" s="55" t="s">
        <v>70</v>
      </c>
      <c r="Q223" s="40">
        <v>4</v>
      </c>
      <c r="R223" s="40">
        <v>5</v>
      </c>
      <c r="S223" s="40">
        <v>4</v>
      </c>
      <c r="T223" s="40">
        <v>3</v>
      </c>
      <c r="U223" s="40">
        <v>3</v>
      </c>
      <c r="V223" s="40">
        <v>5</v>
      </c>
      <c r="W223" s="40">
        <v>4</v>
      </c>
      <c r="X223" s="40">
        <v>3</v>
      </c>
      <c r="Y223" s="40">
        <v>4</v>
      </c>
      <c r="Z223" s="40">
        <f t="shared" si="15"/>
        <v>3.8888888888888888</v>
      </c>
      <c r="AA223" s="41">
        <v>4</v>
      </c>
      <c r="AB223" s="41">
        <v>3</v>
      </c>
      <c r="AC223" s="41">
        <v>4</v>
      </c>
      <c r="AD223" s="41">
        <v>5</v>
      </c>
      <c r="AE223" s="41">
        <v>4</v>
      </c>
      <c r="AF223" s="41">
        <v>5</v>
      </c>
      <c r="AG223" s="41">
        <v>5</v>
      </c>
      <c r="AH223" s="41">
        <v>5</v>
      </c>
      <c r="AI223" s="41">
        <v>5</v>
      </c>
      <c r="AJ223" s="41">
        <f t="shared" si="16"/>
        <v>4.4444444444444446</v>
      </c>
      <c r="AK223" s="40">
        <v>3</v>
      </c>
      <c r="AL223" s="40">
        <v>2</v>
      </c>
      <c r="AM223" s="40">
        <v>5</v>
      </c>
      <c r="AN223" s="40">
        <v>5</v>
      </c>
      <c r="AO223" s="40">
        <v>5</v>
      </c>
      <c r="AP223" s="40">
        <v>5</v>
      </c>
      <c r="AQ223" s="40">
        <v>5</v>
      </c>
      <c r="AR223" s="40">
        <v>4</v>
      </c>
      <c r="AS223" s="40">
        <v>5</v>
      </c>
      <c r="AT223" s="40">
        <v>1</v>
      </c>
      <c r="AU223" s="40"/>
      <c r="AV223" s="40">
        <f t="shared" si="18"/>
        <v>4</v>
      </c>
      <c r="AW223" s="42">
        <v>5</v>
      </c>
      <c r="AX223" s="42">
        <v>4</v>
      </c>
      <c r="AY223" s="42">
        <v>4</v>
      </c>
      <c r="AZ223" s="42" t="s">
        <v>216</v>
      </c>
      <c r="BA223" s="42">
        <f t="shared" si="17"/>
        <v>4.333333333333333</v>
      </c>
      <c r="BB223" s="43">
        <v>5</v>
      </c>
      <c r="BC223" s="43"/>
      <c r="BD223" s="44"/>
      <c r="BE223" s="44"/>
      <c r="BF223" s="45">
        <v>3</v>
      </c>
      <c r="BG223" s="45">
        <v>4</v>
      </c>
      <c r="BH223" s="45">
        <v>4</v>
      </c>
      <c r="BI223" s="45">
        <f t="shared" si="14"/>
        <v>4</v>
      </c>
    </row>
    <row r="224" spans="1:61" ht="16.5" customHeight="1">
      <c r="A224" s="48">
        <v>236</v>
      </c>
      <c r="B224" s="49" t="b">
        <v>1</v>
      </c>
      <c r="C224" s="37" t="s">
        <v>101</v>
      </c>
      <c r="D224" s="37" t="s">
        <v>170</v>
      </c>
      <c r="E224" s="38" t="s">
        <v>111</v>
      </c>
      <c r="F224" s="54" t="s">
        <v>74</v>
      </c>
      <c r="G224" s="54" t="s">
        <v>64</v>
      </c>
      <c r="H224" s="54"/>
      <c r="I224" s="55" t="s">
        <v>65</v>
      </c>
      <c r="J224" s="55" t="s">
        <v>87</v>
      </c>
      <c r="K224" s="55"/>
      <c r="L224" s="55" t="s">
        <v>92</v>
      </c>
      <c r="M224" s="55"/>
      <c r="N224" s="55"/>
      <c r="O224" s="55" t="s">
        <v>70</v>
      </c>
      <c r="P224" s="55"/>
      <c r="Q224" s="40">
        <v>4</v>
      </c>
      <c r="R224" s="40">
        <v>4</v>
      </c>
      <c r="S224" s="40">
        <v>4</v>
      </c>
      <c r="T224" s="40">
        <v>4</v>
      </c>
      <c r="U224" s="40">
        <v>4</v>
      </c>
      <c r="V224" s="40">
        <v>4</v>
      </c>
      <c r="W224" s="40">
        <v>4</v>
      </c>
      <c r="X224" s="40">
        <v>4</v>
      </c>
      <c r="Y224" s="40">
        <v>4</v>
      </c>
      <c r="Z224" s="40">
        <f t="shared" si="15"/>
        <v>4</v>
      </c>
      <c r="AA224" s="41">
        <v>5</v>
      </c>
      <c r="AB224" s="41">
        <v>4</v>
      </c>
      <c r="AC224" s="41">
        <v>4</v>
      </c>
      <c r="AD224" s="41">
        <v>4</v>
      </c>
      <c r="AE224" s="41">
        <v>4</v>
      </c>
      <c r="AF224" s="41">
        <v>5</v>
      </c>
      <c r="AG224" s="41">
        <v>5</v>
      </c>
      <c r="AH224" s="41">
        <v>4</v>
      </c>
      <c r="AI224" s="41">
        <v>4</v>
      </c>
      <c r="AJ224" s="41">
        <f t="shared" si="16"/>
        <v>4.333333333333333</v>
      </c>
      <c r="AK224" s="40">
        <v>2</v>
      </c>
      <c r="AL224" s="40">
        <v>3</v>
      </c>
      <c r="AM224" s="40">
        <v>1</v>
      </c>
      <c r="AN224" s="40">
        <v>3</v>
      </c>
      <c r="AO224" s="40">
        <v>2</v>
      </c>
      <c r="AP224" s="40">
        <v>2</v>
      </c>
      <c r="AQ224" s="40">
        <v>3</v>
      </c>
      <c r="AR224" s="40">
        <v>1</v>
      </c>
      <c r="AS224" s="40">
        <v>2</v>
      </c>
      <c r="AT224" s="40">
        <v>5</v>
      </c>
      <c r="AU224" s="40" t="s">
        <v>74</v>
      </c>
      <c r="AV224" s="40">
        <f t="shared" si="18"/>
        <v>2.4</v>
      </c>
      <c r="AW224" s="42">
        <v>4</v>
      </c>
      <c r="AX224" s="42">
        <v>3</v>
      </c>
      <c r="AY224" s="42">
        <v>5</v>
      </c>
      <c r="AZ224" s="42" t="s">
        <v>217</v>
      </c>
      <c r="BA224" s="42">
        <f t="shared" si="17"/>
        <v>4</v>
      </c>
      <c r="BB224" s="43">
        <v>4</v>
      </c>
      <c r="BC224" s="43">
        <v>3</v>
      </c>
      <c r="BD224" s="44">
        <v>5</v>
      </c>
      <c r="BE224" s="44"/>
      <c r="BF224" s="45">
        <v>3</v>
      </c>
      <c r="BG224" s="45">
        <v>4</v>
      </c>
      <c r="BH224" s="45">
        <v>4</v>
      </c>
      <c r="BI224" s="45">
        <f t="shared" si="14"/>
        <v>3.8333333333333335</v>
      </c>
    </row>
    <row r="225" spans="1:61" ht="16.5" customHeight="1">
      <c r="A225" s="48">
        <v>237</v>
      </c>
      <c r="B225" s="49" t="b">
        <v>1</v>
      </c>
      <c r="C225" s="37" t="s">
        <v>218</v>
      </c>
      <c r="D225" s="37" t="s">
        <v>219</v>
      </c>
      <c r="E225" s="38" t="s">
        <v>96</v>
      </c>
      <c r="F225" s="54" t="s">
        <v>78</v>
      </c>
      <c r="G225" s="54"/>
      <c r="H225" s="54"/>
      <c r="I225" s="46" t="s">
        <v>69</v>
      </c>
      <c r="J225" s="55" t="s">
        <v>83</v>
      </c>
      <c r="K225" s="55"/>
      <c r="L225" s="55">
        <v>2.5</v>
      </c>
      <c r="M225" s="55"/>
      <c r="N225" s="55"/>
      <c r="O225" s="55"/>
      <c r="P225" s="55"/>
      <c r="Q225" s="40">
        <v>4</v>
      </c>
      <c r="R225" s="40">
        <v>3</v>
      </c>
      <c r="S225" s="40">
        <v>3</v>
      </c>
      <c r="T225" s="40">
        <v>3</v>
      </c>
      <c r="U225" s="40">
        <v>2</v>
      </c>
      <c r="V225" s="40">
        <v>4</v>
      </c>
      <c r="W225" s="40">
        <v>3</v>
      </c>
      <c r="X225" s="40">
        <v>3</v>
      </c>
      <c r="Y225" s="40">
        <v>4</v>
      </c>
      <c r="Z225" s="40">
        <f t="shared" si="15"/>
        <v>3.2222222222222223</v>
      </c>
      <c r="AA225" s="41">
        <v>3</v>
      </c>
      <c r="AB225" s="41">
        <v>1</v>
      </c>
      <c r="AC225" s="41">
        <v>3</v>
      </c>
      <c r="AD225" s="41">
        <v>1</v>
      </c>
      <c r="AE225" s="41">
        <v>2</v>
      </c>
      <c r="AF225" s="41">
        <v>2</v>
      </c>
      <c r="AG225" s="41">
        <v>2</v>
      </c>
      <c r="AH225" s="41">
        <v>1</v>
      </c>
      <c r="AI225" s="41">
        <v>3</v>
      </c>
      <c r="AJ225" s="41">
        <f t="shared" si="16"/>
        <v>2</v>
      </c>
      <c r="AK225" s="40">
        <v>2</v>
      </c>
      <c r="AL225" s="40">
        <v>1</v>
      </c>
      <c r="AM225" s="40">
        <v>4</v>
      </c>
      <c r="AN225" s="40">
        <v>4</v>
      </c>
      <c r="AO225" s="40">
        <v>4</v>
      </c>
      <c r="AP225" s="40">
        <v>4</v>
      </c>
      <c r="AQ225" s="40">
        <v>4</v>
      </c>
      <c r="AR225" s="40">
        <v>4</v>
      </c>
      <c r="AS225" s="40">
        <v>4</v>
      </c>
      <c r="AT225" s="40">
        <v>3</v>
      </c>
      <c r="AU225" s="40" t="s">
        <v>74</v>
      </c>
      <c r="AV225" s="40">
        <f t="shared" si="18"/>
        <v>3.4</v>
      </c>
      <c r="AW225" s="42">
        <v>2</v>
      </c>
      <c r="AX225" s="42">
        <v>4</v>
      </c>
      <c r="AY225" s="42"/>
      <c r="AZ225" s="42" t="s">
        <v>209</v>
      </c>
      <c r="BA225" s="42">
        <f t="shared" si="17"/>
        <v>3</v>
      </c>
      <c r="BB225" s="43">
        <v>4</v>
      </c>
      <c r="BC225" s="43">
        <v>3</v>
      </c>
      <c r="BD225" s="44"/>
      <c r="BE225" s="44"/>
      <c r="BF225" s="45">
        <v>2</v>
      </c>
      <c r="BG225" s="45">
        <v>2</v>
      </c>
      <c r="BH225" s="45">
        <v>3</v>
      </c>
      <c r="BI225" s="45">
        <f t="shared" si="14"/>
        <v>2.8</v>
      </c>
    </row>
    <row r="226" spans="1:61" ht="16.5" customHeight="1">
      <c r="A226" s="48">
        <v>238</v>
      </c>
      <c r="B226" s="49" t="b">
        <v>1</v>
      </c>
      <c r="C226" s="37" t="s">
        <v>114</v>
      </c>
      <c r="D226" s="37" t="s">
        <v>153</v>
      </c>
      <c r="E226" s="38" t="s">
        <v>72</v>
      </c>
      <c r="F226" s="54"/>
      <c r="G226" s="54"/>
      <c r="H226" s="54"/>
      <c r="I226" s="39" t="s">
        <v>65</v>
      </c>
      <c r="J226" s="55" t="s">
        <v>87</v>
      </c>
      <c r="K226" s="39" t="s">
        <v>69</v>
      </c>
      <c r="L226" s="55">
        <v>3</v>
      </c>
      <c r="M226" s="55"/>
      <c r="N226" s="55"/>
      <c r="O226" s="55" t="s">
        <v>70</v>
      </c>
      <c r="P226" s="55"/>
      <c r="Q226" s="40">
        <v>3</v>
      </c>
      <c r="R226" s="40">
        <v>3</v>
      </c>
      <c r="S226" s="40">
        <v>3</v>
      </c>
      <c r="T226" s="40">
        <v>2</v>
      </c>
      <c r="U226" s="40">
        <v>4</v>
      </c>
      <c r="V226" s="40">
        <v>3</v>
      </c>
      <c r="W226" s="40">
        <v>3</v>
      </c>
      <c r="X226" s="40">
        <v>2</v>
      </c>
      <c r="Y226" s="40">
        <v>3</v>
      </c>
      <c r="Z226" s="40">
        <f t="shared" si="15"/>
        <v>2.8888888888888888</v>
      </c>
      <c r="AA226" s="41">
        <v>3</v>
      </c>
      <c r="AB226" s="41">
        <v>3</v>
      </c>
      <c r="AC226" s="41">
        <v>3</v>
      </c>
      <c r="AD226" s="41">
        <v>4</v>
      </c>
      <c r="AE226" s="41">
        <v>3</v>
      </c>
      <c r="AF226" s="41">
        <v>4</v>
      </c>
      <c r="AG226" s="41">
        <v>4</v>
      </c>
      <c r="AH226" s="41">
        <v>1</v>
      </c>
      <c r="AI226" s="41">
        <v>3</v>
      </c>
      <c r="AJ226" s="41">
        <f t="shared" si="16"/>
        <v>3.1111111111111112</v>
      </c>
      <c r="AK226" s="40">
        <v>1</v>
      </c>
      <c r="AL226" s="40">
        <v>2</v>
      </c>
      <c r="AM226" s="40">
        <v>1</v>
      </c>
      <c r="AN226" s="40">
        <v>3</v>
      </c>
      <c r="AO226" s="40">
        <v>3</v>
      </c>
      <c r="AP226" s="40">
        <v>1</v>
      </c>
      <c r="AQ226" s="40">
        <v>4</v>
      </c>
      <c r="AR226" s="40">
        <v>1</v>
      </c>
      <c r="AS226" s="40">
        <v>3</v>
      </c>
      <c r="AT226" s="40">
        <v>4</v>
      </c>
      <c r="AU226" s="40" t="s">
        <v>74</v>
      </c>
      <c r="AV226" s="40">
        <f t="shared" si="18"/>
        <v>2.2999999999999998</v>
      </c>
      <c r="AW226" s="42">
        <v>4</v>
      </c>
      <c r="AX226" s="42">
        <v>4</v>
      </c>
      <c r="AY226" s="42">
        <v>4</v>
      </c>
      <c r="AZ226" s="42" t="s">
        <v>220</v>
      </c>
      <c r="BA226" s="42">
        <f t="shared" si="17"/>
        <v>4</v>
      </c>
      <c r="BB226" s="43">
        <v>3</v>
      </c>
      <c r="BC226" s="43"/>
      <c r="BD226" s="44"/>
      <c r="BE226" s="44"/>
      <c r="BF226" s="45">
        <v>3</v>
      </c>
      <c r="BG226" s="45">
        <v>4</v>
      </c>
      <c r="BH226" s="45"/>
      <c r="BI226" s="45">
        <f t="shared" si="14"/>
        <v>3.3333333333333335</v>
      </c>
    </row>
    <row r="227" spans="1:61" ht="16.5" customHeight="1">
      <c r="A227" s="48">
        <v>239</v>
      </c>
      <c r="B227" s="49" t="b">
        <v>1</v>
      </c>
      <c r="C227" s="37" t="s">
        <v>114</v>
      </c>
      <c r="D227" s="37" t="s">
        <v>153</v>
      </c>
      <c r="E227" s="38" t="s">
        <v>73</v>
      </c>
      <c r="F227" s="54"/>
      <c r="G227" s="54"/>
      <c r="H227" s="54"/>
      <c r="I227" s="39" t="s">
        <v>65</v>
      </c>
      <c r="J227" s="55" t="s">
        <v>87</v>
      </c>
      <c r="K227" s="39" t="s">
        <v>69</v>
      </c>
      <c r="L227" s="55">
        <v>3</v>
      </c>
      <c r="M227" s="55"/>
      <c r="N227" s="55"/>
      <c r="O227" s="55" t="s">
        <v>70</v>
      </c>
      <c r="P227" s="55"/>
      <c r="Q227" s="40">
        <v>4</v>
      </c>
      <c r="R227" s="40">
        <v>4</v>
      </c>
      <c r="S227" s="40">
        <v>5</v>
      </c>
      <c r="T227" s="40">
        <v>5</v>
      </c>
      <c r="U227" s="40">
        <v>4</v>
      </c>
      <c r="V227" s="40">
        <v>5</v>
      </c>
      <c r="W227" s="40">
        <v>5</v>
      </c>
      <c r="X227" s="40">
        <v>4</v>
      </c>
      <c r="Y227" s="40">
        <v>3</v>
      </c>
      <c r="Z227" s="40">
        <f t="shared" si="15"/>
        <v>4.333333333333333</v>
      </c>
      <c r="AA227" s="41">
        <v>5</v>
      </c>
      <c r="AB227" s="41">
        <v>2</v>
      </c>
      <c r="AC227" s="41">
        <v>3</v>
      </c>
      <c r="AD227" s="41">
        <v>4</v>
      </c>
      <c r="AE227" s="41">
        <v>5</v>
      </c>
      <c r="AF227" s="41">
        <v>4</v>
      </c>
      <c r="AG227" s="41">
        <v>4</v>
      </c>
      <c r="AH227" s="41">
        <v>5</v>
      </c>
      <c r="AI227" s="41">
        <v>4</v>
      </c>
      <c r="AJ227" s="41">
        <f t="shared" si="16"/>
        <v>4</v>
      </c>
      <c r="AK227" s="40">
        <v>4</v>
      </c>
      <c r="AL227" s="40">
        <v>3</v>
      </c>
      <c r="AM227" s="40">
        <v>5</v>
      </c>
      <c r="AN227" s="40">
        <v>5</v>
      </c>
      <c r="AO227" s="40">
        <v>4</v>
      </c>
      <c r="AP227" s="40">
        <v>5</v>
      </c>
      <c r="AQ227" s="40">
        <v>5</v>
      </c>
      <c r="AR227" s="40">
        <v>5</v>
      </c>
      <c r="AS227" s="40">
        <v>5</v>
      </c>
      <c r="AT227" s="40">
        <v>4</v>
      </c>
      <c r="AU227" s="40"/>
      <c r="AV227" s="40">
        <f t="shared" si="18"/>
        <v>4.5</v>
      </c>
      <c r="AW227" s="42">
        <v>3</v>
      </c>
      <c r="AX227" s="42">
        <v>5</v>
      </c>
      <c r="AY227" s="42">
        <v>5</v>
      </c>
      <c r="AZ227" s="42" t="s">
        <v>220</v>
      </c>
      <c r="BA227" s="42">
        <f t="shared" si="17"/>
        <v>4.333333333333333</v>
      </c>
      <c r="BB227" s="43">
        <v>5</v>
      </c>
      <c r="BC227" s="43"/>
      <c r="BD227" s="44"/>
      <c r="BE227" s="44"/>
      <c r="BF227" s="45">
        <v>5</v>
      </c>
      <c r="BG227" s="45">
        <v>4</v>
      </c>
      <c r="BH227" s="45">
        <v>4</v>
      </c>
      <c r="BI227" s="45">
        <f t="shared" si="14"/>
        <v>4.5</v>
      </c>
    </row>
    <row r="228" spans="1:61" ht="16.5" customHeight="1">
      <c r="A228" s="48">
        <v>240</v>
      </c>
      <c r="B228" s="49" t="b">
        <v>1</v>
      </c>
      <c r="C228" s="37" t="s">
        <v>114</v>
      </c>
      <c r="D228" s="37" t="s">
        <v>170</v>
      </c>
      <c r="E228" s="38" t="s">
        <v>75</v>
      </c>
      <c r="F228" s="54" t="s">
        <v>78</v>
      </c>
      <c r="G228" s="54" t="s">
        <v>78</v>
      </c>
      <c r="H228" s="54"/>
      <c r="I228" s="46" t="s">
        <v>69</v>
      </c>
      <c r="J228" s="55" t="s">
        <v>87</v>
      </c>
      <c r="K228" s="55"/>
      <c r="L228" s="55" t="s">
        <v>92</v>
      </c>
      <c r="M228" s="55"/>
      <c r="N228" s="55"/>
      <c r="O228" s="55" t="s">
        <v>70</v>
      </c>
      <c r="P228" s="55"/>
      <c r="Q228" s="40">
        <v>5</v>
      </c>
      <c r="R228" s="40">
        <v>4</v>
      </c>
      <c r="S228" s="40">
        <v>4</v>
      </c>
      <c r="T228" s="40">
        <v>4</v>
      </c>
      <c r="U228" s="40">
        <v>4</v>
      </c>
      <c r="V228" s="40">
        <v>5</v>
      </c>
      <c r="W228" s="40">
        <v>5</v>
      </c>
      <c r="X228" s="40">
        <v>4</v>
      </c>
      <c r="Y228" s="40">
        <v>5</v>
      </c>
      <c r="Z228" s="40">
        <f t="shared" si="15"/>
        <v>4.4444444444444446</v>
      </c>
      <c r="AA228" s="41"/>
      <c r="AB228" s="41">
        <v>5</v>
      </c>
      <c r="AC228" s="41">
        <v>5</v>
      </c>
      <c r="AD228" s="41">
        <v>4</v>
      </c>
      <c r="AE228" s="41">
        <v>3</v>
      </c>
      <c r="AF228" s="41">
        <v>5</v>
      </c>
      <c r="AG228" s="41">
        <v>5</v>
      </c>
      <c r="AH228" s="41">
        <v>5</v>
      </c>
      <c r="AI228" s="41">
        <v>5</v>
      </c>
      <c r="AJ228" s="41">
        <f t="shared" si="16"/>
        <v>4.625</v>
      </c>
      <c r="AK228" s="40"/>
      <c r="AL228" s="40">
        <v>4</v>
      </c>
      <c r="AM228" s="40">
        <v>5</v>
      </c>
      <c r="AN228" s="40">
        <v>5</v>
      </c>
      <c r="AO228" s="40">
        <v>5</v>
      </c>
      <c r="AP228" s="40">
        <v>4</v>
      </c>
      <c r="AQ228" s="40">
        <v>5</v>
      </c>
      <c r="AR228" s="40">
        <v>5</v>
      </c>
      <c r="AS228" s="40">
        <v>4</v>
      </c>
      <c r="AT228" s="40">
        <v>3</v>
      </c>
      <c r="AU228" s="40"/>
      <c r="AV228" s="40">
        <f t="shared" si="18"/>
        <v>4.4444444444444446</v>
      </c>
      <c r="AW228" s="42">
        <v>5</v>
      </c>
      <c r="AX228" s="42">
        <v>5</v>
      </c>
      <c r="AY228" s="42">
        <v>5</v>
      </c>
      <c r="AZ228" s="42" t="s">
        <v>221</v>
      </c>
      <c r="BA228" s="42">
        <f t="shared" si="17"/>
        <v>5</v>
      </c>
      <c r="BB228" s="43">
        <v>5</v>
      </c>
      <c r="BC228" s="43">
        <v>4</v>
      </c>
      <c r="BD228" s="44">
        <v>5</v>
      </c>
      <c r="BE228" s="44"/>
      <c r="BF228" s="45">
        <v>3</v>
      </c>
      <c r="BG228" s="45">
        <v>4</v>
      </c>
      <c r="BH228" s="45"/>
      <c r="BI228" s="45">
        <f t="shared" si="14"/>
        <v>4.2</v>
      </c>
    </row>
    <row r="229" spans="1:61" ht="16.5" customHeight="1">
      <c r="A229" s="48">
        <v>241</v>
      </c>
      <c r="B229" s="49" t="b">
        <v>1</v>
      </c>
      <c r="C229" s="37" t="s">
        <v>114</v>
      </c>
      <c r="D229" s="37" t="s">
        <v>222</v>
      </c>
      <c r="E229" s="38" t="s">
        <v>75</v>
      </c>
      <c r="F229" s="54" t="s">
        <v>74</v>
      </c>
      <c r="G229" s="54"/>
      <c r="H229" s="54"/>
      <c r="I229" s="39" t="s">
        <v>65</v>
      </c>
      <c r="J229" s="39" t="s">
        <v>65</v>
      </c>
      <c r="K229" s="55"/>
      <c r="L229" s="39">
        <v>2.5</v>
      </c>
      <c r="M229" s="55"/>
      <c r="N229" s="55"/>
      <c r="O229" s="55" t="s">
        <v>70</v>
      </c>
      <c r="P229" s="55"/>
      <c r="Q229" s="40">
        <v>4</v>
      </c>
      <c r="R229" s="40">
        <v>4</v>
      </c>
      <c r="S229" s="40">
        <v>4</v>
      </c>
      <c r="T229" s="40">
        <v>4</v>
      </c>
      <c r="U229" s="40">
        <v>3</v>
      </c>
      <c r="V229" s="40">
        <v>4</v>
      </c>
      <c r="W229" s="40">
        <v>4</v>
      </c>
      <c r="X229" s="40">
        <v>3</v>
      </c>
      <c r="Y229" s="40">
        <v>3</v>
      </c>
      <c r="Z229" s="40">
        <f t="shared" si="15"/>
        <v>3.6666666666666665</v>
      </c>
      <c r="AA229" s="41">
        <v>4</v>
      </c>
      <c r="AB229" s="41">
        <v>4</v>
      </c>
      <c r="AC229" s="41">
        <v>3</v>
      </c>
      <c r="AD229" s="41">
        <v>3</v>
      </c>
      <c r="AE229" s="41">
        <v>1</v>
      </c>
      <c r="AF229" s="41">
        <v>3</v>
      </c>
      <c r="AG229" s="41">
        <v>4</v>
      </c>
      <c r="AH229" s="41">
        <v>3</v>
      </c>
      <c r="AI229" s="41">
        <v>3</v>
      </c>
      <c r="AJ229" s="41">
        <f t="shared" si="16"/>
        <v>3.1111111111111112</v>
      </c>
      <c r="AK229" s="40">
        <v>3</v>
      </c>
      <c r="AL229" s="40">
        <v>4</v>
      </c>
      <c r="AM229" s="40">
        <v>5</v>
      </c>
      <c r="AN229" s="40">
        <v>5</v>
      </c>
      <c r="AO229" s="40">
        <v>5</v>
      </c>
      <c r="AP229" s="40">
        <v>4</v>
      </c>
      <c r="AQ229" s="40">
        <v>4</v>
      </c>
      <c r="AR229" s="40">
        <v>4</v>
      </c>
      <c r="AS229" s="40">
        <v>5</v>
      </c>
      <c r="AT229" s="40">
        <v>4</v>
      </c>
      <c r="AU229" s="40" t="s">
        <v>74</v>
      </c>
      <c r="AV229" s="40">
        <f t="shared" si="18"/>
        <v>4.3</v>
      </c>
      <c r="AW229" s="42">
        <v>4</v>
      </c>
      <c r="AX229" s="42">
        <v>4</v>
      </c>
      <c r="AY229" s="42">
        <v>4</v>
      </c>
      <c r="AZ229" s="42" t="s">
        <v>221</v>
      </c>
      <c r="BA229" s="42">
        <f t="shared" si="17"/>
        <v>4</v>
      </c>
      <c r="BB229" s="43">
        <v>5</v>
      </c>
      <c r="BC229" s="43"/>
      <c r="BD229" s="44"/>
      <c r="BE229" s="44"/>
      <c r="BF229" s="45">
        <v>4</v>
      </c>
      <c r="BG229" s="45">
        <v>4</v>
      </c>
      <c r="BH229" s="45">
        <v>4</v>
      </c>
      <c r="BI229" s="45">
        <f t="shared" si="14"/>
        <v>4.25</v>
      </c>
    </row>
    <row r="230" spans="1:61" ht="16.5" customHeight="1">
      <c r="A230" s="48">
        <v>242</v>
      </c>
      <c r="B230" s="49" t="b">
        <v>1</v>
      </c>
      <c r="C230" s="37" t="s">
        <v>90</v>
      </c>
      <c r="D230" s="37" t="s">
        <v>110</v>
      </c>
      <c r="E230" s="38" t="s">
        <v>75</v>
      </c>
      <c r="F230" s="54" t="s">
        <v>74</v>
      </c>
      <c r="G230" s="54" t="s">
        <v>64</v>
      </c>
      <c r="H230" s="54"/>
      <c r="I230" s="46" t="s">
        <v>69</v>
      </c>
      <c r="J230" s="55" t="s">
        <v>83</v>
      </c>
      <c r="K230" s="55"/>
      <c r="L230" s="55" t="s">
        <v>92</v>
      </c>
      <c r="M230" s="55"/>
      <c r="N230" s="55"/>
      <c r="O230" s="55" t="s">
        <v>70</v>
      </c>
      <c r="P230" s="55"/>
      <c r="Q230" s="40">
        <v>4</v>
      </c>
      <c r="R230" s="40">
        <v>5</v>
      </c>
      <c r="S230" s="40">
        <v>5</v>
      </c>
      <c r="T230" s="40">
        <v>5</v>
      </c>
      <c r="U230" s="40">
        <v>4</v>
      </c>
      <c r="V230" s="40">
        <v>3</v>
      </c>
      <c r="W230" s="40">
        <v>4</v>
      </c>
      <c r="X230" s="40">
        <v>3</v>
      </c>
      <c r="Y230" s="40">
        <v>4</v>
      </c>
      <c r="Z230" s="40">
        <f t="shared" si="15"/>
        <v>4.1111111111111107</v>
      </c>
      <c r="AA230" s="41"/>
      <c r="AB230" s="41">
        <v>1</v>
      </c>
      <c r="AC230" s="41">
        <v>1</v>
      </c>
      <c r="AD230" s="41">
        <v>1</v>
      </c>
      <c r="AE230" s="41">
        <v>2</v>
      </c>
      <c r="AF230" s="41">
        <v>1</v>
      </c>
      <c r="AG230" s="41">
        <v>1</v>
      </c>
      <c r="AH230" s="41">
        <v>1</v>
      </c>
      <c r="AI230" s="41">
        <v>1</v>
      </c>
      <c r="AJ230" s="41">
        <f t="shared" si="16"/>
        <v>1.125</v>
      </c>
      <c r="AK230" s="40"/>
      <c r="AL230" s="40">
        <v>2</v>
      </c>
      <c r="AM230" s="40">
        <v>3</v>
      </c>
      <c r="AN230" s="40">
        <v>3</v>
      </c>
      <c r="AO230" s="40">
        <v>3</v>
      </c>
      <c r="AP230" s="40">
        <v>2</v>
      </c>
      <c r="AQ230" s="40">
        <v>3</v>
      </c>
      <c r="AR230" s="40">
        <v>3</v>
      </c>
      <c r="AS230" s="40">
        <v>3</v>
      </c>
      <c r="AT230" s="40">
        <v>3</v>
      </c>
      <c r="AU230" s="40" t="s">
        <v>74</v>
      </c>
      <c r="AV230" s="40">
        <f t="shared" si="18"/>
        <v>2.7777777777777777</v>
      </c>
      <c r="AW230" s="42">
        <v>5</v>
      </c>
      <c r="AX230" s="42">
        <v>5</v>
      </c>
      <c r="AY230" s="42">
        <v>5</v>
      </c>
      <c r="AZ230" s="42" t="s">
        <v>223</v>
      </c>
      <c r="BA230" s="42">
        <f t="shared" si="17"/>
        <v>5</v>
      </c>
      <c r="BB230" s="43">
        <v>3</v>
      </c>
      <c r="BC230" s="43">
        <v>3</v>
      </c>
      <c r="BD230" s="44">
        <v>4</v>
      </c>
      <c r="BE230" s="44"/>
      <c r="BF230" s="45">
        <v>1</v>
      </c>
      <c r="BG230" s="45">
        <v>1</v>
      </c>
      <c r="BH230" s="45">
        <v>4</v>
      </c>
      <c r="BI230" s="45">
        <f t="shared" si="14"/>
        <v>2.6666666666666665</v>
      </c>
    </row>
    <row r="231" spans="1:61" ht="16.5" customHeight="1">
      <c r="A231" s="48">
        <v>243</v>
      </c>
      <c r="B231" s="49" t="b">
        <v>1</v>
      </c>
      <c r="C231" s="37" t="s">
        <v>218</v>
      </c>
      <c r="D231" s="37" t="s">
        <v>224</v>
      </c>
      <c r="E231" s="38" t="s">
        <v>73</v>
      </c>
      <c r="F231" s="54" t="s">
        <v>78</v>
      </c>
      <c r="G231" s="54" t="s">
        <v>64</v>
      </c>
      <c r="H231" s="54"/>
      <c r="I231" s="46" t="s">
        <v>69</v>
      </c>
      <c r="J231" s="39" t="s">
        <v>65</v>
      </c>
      <c r="K231" s="55"/>
      <c r="L231" s="55" t="s">
        <v>92</v>
      </c>
      <c r="M231" s="55"/>
      <c r="N231" s="55"/>
      <c r="O231" s="55" t="s">
        <v>70</v>
      </c>
      <c r="P231" s="55"/>
      <c r="Q231" s="40">
        <v>3</v>
      </c>
      <c r="R231" s="40">
        <v>3</v>
      </c>
      <c r="S231" s="40">
        <v>2</v>
      </c>
      <c r="T231" s="40">
        <v>4</v>
      </c>
      <c r="U231" s="40">
        <v>3</v>
      </c>
      <c r="V231" s="40">
        <v>2</v>
      </c>
      <c r="W231" s="40">
        <v>3</v>
      </c>
      <c r="X231" s="40">
        <v>2</v>
      </c>
      <c r="Y231" s="40">
        <v>2</v>
      </c>
      <c r="Z231" s="40">
        <f t="shared" si="15"/>
        <v>2.6666666666666665</v>
      </c>
      <c r="AA231" s="41"/>
      <c r="AB231" s="41">
        <v>1</v>
      </c>
      <c r="AC231" s="41">
        <v>1</v>
      </c>
      <c r="AD231" s="41">
        <v>1</v>
      </c>
      <c r="AE231" s="41">
        <v>1</v>
      </c>
      <c r="AF231" s="41">
        <v>1</v>
      </c>
      <c r="AG231" s="57">
        <v>1</v>
      </c>
      <c r="AH231" s="41">
        <v>1</v>
      </c>
      <c r="AI231" s="41">
        <v>1</v>
      </c>
      <c r="AJ231" s="41">
        <f t="shared" si="16"/>
        <v>1</v>
      </c>
      <c r="AK231" s="40"/>
      <c r="AL231" s="40">
        <v>3</v>
      </c>
      <c r="AM231" s="40">
        <v>3</v>
      </c>
      <c r="AN231" s="40">
        <v>3</v>
      </c>
      <c r="AO231" s="40">
        <v>3</v>
      </c>
      <c r="AP231" s="40">
        <v>3</v>
      </c>
      <c r="AQ231" s="40">
        <v>3</v>
      </c>
      <c r="AR231" s="40">
        <v>3</v>
      </c>
      <c r="AS231" s="40">
        <v>3</v>
      </c>
      <c r="AT231" s="40">
        <v>2</v>
      </c>
      <c r="AU231" s="40" t="s">
        <v>74</v>
      </c>
      <c r="AV231" s="40">
        <f t="shared" si="18"/>
        <v>2.8888888888888888</v>
      </c>
      <c r="AW231" s="42">
        <v>5</v>
      </c>
      <c r="AX231" s="42">
        <v>5</v>
      </c>
      <c r="AY231" s="42">
        <v>5</v>
      </c>
      <c r="AZ231" s="42" t="s">
        <v>225</v>
      </c>
      <c r="BA231" s="42">
        <f t="shared" si="17"/>
        <v>5</v>
      </c>
      <c r="BB231" s="43">
        <v>3</v>
      </c>
      <c r="BC231" s="43">
        <v>3</v>
      </c>
      <c r="BD231" s="44">
        <v>5</v>
      </c>
      <c r="BE231" s="44"/>
      <c r="BF231" s="45">
        <v>3</v>
      </c>
      <c r="BG231" s="45">
        <v>4</v>
      </c>
      <c r="BH231" s="45">
        <v>4</v>
      </c>
      <c r="BI231" s="45">
        <f t="shared" si="14"/>
        <v>3.6666666666666665</v>
      </c>
    </row>
    <row r="232" spans="1:61" ht="16.5" customHeight="1">
      <c r="A232" s="48">
        <v>244</v>
      </c>
      <c r="B232" s="49" t="b">
        <v>1</v>
      </c>
      <c r="C232" s="37" t="s">
        <v>114</v>
      </c>
      <c r="D232" s="37" t="s">
        <v>85</v>
      </c>
      <c r="E232" s="38" t="s">
        <v>75</v>
      </c>
      <c r="F232" s="54" t="s">
        <v>63</v>
      </c>
      <c r="G232" s="54" t="s">
        <v>78</v>
      </c>
      <c r="H232" s="54"/>
      <c r="I232" s="39" t="s">
        <v>65</v>
      </c>
      <c r="J232" s="55" t="s">
        <v>87</v>
      </c>
      <c r="K232" s="55" t="s">
        <v>65</v>
      </c>
      <c r="L232" s="55">
        <v>3</v>
      </c>
      <c r="M232" s="55"/>
      <c r="N232" s="55"/>
      <c r="O232" s="55" t="s">
        <v>70</v>
      </c>
      <c r="P232" s="55"/>
      <c r="Q232" s="40">
        <v>3</v>
      </c>
      <c r="R232" s="40">
        <v>4</v>
      </c>
      <c r="S232" s="40">
        <v>3</v>
      </c>
      <c r="T232" s="40">
        <v>3</v>
      </c>
      <c r="U232" s="40">
        <v>4</v>
      </c>
      <c r="V232" s="40">
        <v>4</v>
      </c>
      <c r="W232" s="40">
        <v>4</v>
      </c>
      <c r="X232" s="40">
        <v>3</v>
      </c>
      <c r="Y232" s="40">
        <v>3</v>
      </c>
      <c r="Z232" s="40">
        <f t="shared" si="15"/>
        <v>3.4444444444444446</v>
      </c>
      <c r="AA232" s="41">
        <v>3</v>
      </c>
      <c r="AB232" s="41">
        <v>2</v>
      </c>
      <c r="AC232" s="41">
        <v>3</v>
      </c>
      <c r="AD232" s="41">
        <v>3</v>
      </c>
      <c r="AE232" s="41">
        <v>3</v>
      </c>
      <c r="AF232" s="41">
        <v>3</v>
      </c>
      <c r="AG232" s="41">
        <v>4</v>
      </c>
      <c r="AH232" s="41">
        <v>3</v>
      </c>
      <c r="AI232" s="41">
        <v>3</v>
      </c>
      <c r="AJ232" s="41">
        <f t="shared" si="16"/>
        <v>3</v>
      </c>
      <c r="AK232" s="40">
        <v>4</v>
      </c>
      <c r="AL232" s="40">
        <v>1</v>
      </c>
      <c r="AM232" s="40">
        <v>4</v>
      </c>
      <c r="AN232" s="40">
        <v>4</v>
      </c>
      <c r="AO232" s="40">
        <v>4</v>
      </c>
      <c r="AP232" s="40">
        <v>2</v>
      </c>
      <c r="AQ232" s="40">
        <v>5</v>
      </c>
      <c r="AR232" s="40">
        <v>4</v>
      </c>
      <c r="AS232" s="40">
        <v>4</v>
      </c>
      <c r="AT232" s="40">
        <v>3</v>
      </c>
      <c r="AU232" s="40"/>
      <c r="AV232" s="40">
        <f t="shared" si="18"/>
        <v>3.5</v>
      </c>
      <c r="AW232" s="42">
        <v>3</v>
      </c>
      <c r="AX232" s="42">
        <v>4</v>
      </c>
      <c r="AY232" s="42">
        <v>4</v>
      </c>
      <c r="AZ232" s="42" t="s">
        <v>209</v>
      </c>
      <c r="BA232" s="42">
        <f t="shared" si="17"/>
        <v>3.6666666666666665</v>
      </c>
      <c r="BB232" s="43">
        <v>3</v>
      </c>
      <c r="BC232" s="43"/>
      <c r="BD232" s="44">
        <v>4</v>
      </c>
      <c r="BE232" s="44"/>
      <c r="BF232" s="45">
        <v>4</v>
      </c>
      <c r="BG232" s="45">
        <v>4</v>
      </c>
      <c r="BH232" s="45">
        <v>4</v>
      </c>
      <c r="BI232" s="45">
        <f t="shared" si="14"/>
        <v>3.8</v>
      </c>
    </row>
    <row r="233" spans="1:61" ht="16.5" customHeight="1">
      <c r="A233" s="48">
        <v>245</v>
      </c>
      <c r="B233" s="49" t="b">
        <v>1</v>
      </c>
      <c r="C233" s="37" t="s">
        <v>114</v>
      </c>
      <c r="D233" s="37" t="s">
        <v>226</v>
      </c>
      <c r="E233" s="38" t="s">
        <v>96</v>
      </c>
      <c r="F233" s="54" t="s">
        <v>74</v>
      </c>
      <c r="G233" s="54"/>
      <c r="H233" s="54">
        <v>2017</v>
      </c>
      <c r="I233" s="39" t="s">
        <v>65</v>
      </c>
      <c r="J233" s="55" t="s">
        <v>83</v>
      </c>
      <c r="K233" s="55"/>
      <c r="L233" s="39">
        <v>2.5</v>
      </c>
      <c r="M233" s="55"/>
      <c r="N233" s="55"/>
      <c r="O233" s="55" t="s">
        <v>70</v>
      </c>
      <c r="P233" s="55"/>
      <c r="Q233" s="40">
        <v>4</v>
      </c>
      <c r="R233" s="40">
        <v>3</v>
      </c>
      <c r="S233" s="40">
        <v>4</v>
      </c>
      <c r="T233" s="40">
        <v>5</v>
      </c>
      <c r="U233" s="40">
        <v>4</v>
      </c>
      <c r="V233" s="40">
        <v>5</v>
      </c>
      <c r="W233" s="40">
        <v>4</v>
      </c>
      <c r="X233" s="40">
        <v>3</v>
      </c>
      <c r="Y233" s="40">
        <v>4</v>
      </c>
      <c r="Z233" s="40">
        <f t="shared" si="15"/>
        <v>4</v>
      </c>
      <c r="AA233" s="41">
        <v>4</v>
      </c>
      <c r="AB233" s="41">
        <v>1</v>
      </c>
      <c r="AC233" s="41">
        <v>5</v>
      </c>
      <c r="AD233" s="41">
        <v>5</v>
      </c>
      <c r="AE233" s="41">
        <v>5</v>
      </c>
      <c r="AF233" s="41">
        <v>4</v>
      </c>
      <c r="AG233" s="41">
        <v>5</v>
      </c>
      <c r="AH233" s="41">
        <v>4</v>
      </c>
      <c r="AI233" s="41">
        <v>5</v>
      </c>
      <c r="AJ233" s="41">
        <f t="shared" si="16"/>
        <v>4.2222222222222223</v>
      </c>
      <c r="AK233" s="40">
        <v>4</v>
      </c>
      <c r="AL233" s="40">
        <v>2</v>
      </c>
      <c r="AM233" s="40">
        <v>3</v>
      </c>
      <c r="AN233" s="40">
        <v>4</v>
      </c>
      <c r="AO233" s="40">
        <v>5</v>
      </c>
      <c r="AP233" s="40">
        <v>3</v>
      </c>
      <c r="AQ233" s="40">
        <v>3</v>
      </c>
      <c r="AR233" s="40">
        <v>3</v>
      </c>
      <c r="AS233" s="40">
        <v>5</v>
      </c>
      <c r="AT233" s="40">
        <v>5</v>
      </c>
      <c r="AU233" s="40" t="s">
        <v>74</v>
      </c>
      <c r="AV233" s="40">
        <f t="shared" si="18"/>
        <v>3.7</v>
      </c>
      <c r="AW233" s="42">
        <v>4</v>
      </c>
      <c r="AX233" s="42">
        <v>4</v>
      </c>
      <c r="AY233" s="42">
        <v>5</v>
      </c>
      <c r="AZ233" s="42" t="s">
        <v>209</v>
      </c>
      <c r="BA233" s="42">
        <f t="shared" si="17"/>
        <v>4.333333333333333</v>
      </c>
      <c r="BB233" s="43">
        <v>5</v>
      </c>
      <c r="BC233" s="43"/>
      <c r="BD233" s="44"/>
      <c r="BE233" s="44"/>
      <c r="BF233" s="45">
        <v>4</v>
      </c>
      <c r="BG233" s="45">
        <v>4</v>
      </c>
      <c r="BH233" s="45">
        <v>4</v>
      </c>
      <c r="BI233" s="45">
        <f t="shared" si="14"/>
        <v>4.25</v>
      </c>
    </row>
    <row r="234" spans="1:61" ht="16.5" customHeight="1">
      <c r="A234" s="48">
        <v>246</v>
      </c>
      <c r="B234" s="49" t="b">
        <v>1</v>
      </c>
      <c r="C234" s="37" t="s">
        <v>138</v>
      </c>
      <c r="D234" s="37" t="s">
        <v>85</v>
      </c>
      <c r="E234" s="38" t="s">
        <v>72</v>
      </c>
      <c r="F234" s="54" t="s">
        <v>78</v>
      </c>
      <c r="G234" s="54" t="s">
        <v>78</v>
      </c>
      <c r="H234" s="54"/>
      <c r="I234" s="39" t="s">
        <v>65</v>
      </c>
      <c r="J234" s="55" t="s">
        <v>87</v>
      </c>
      <c r="K234" s="55" t="s">
        <v>65</v>
      </c>
      <c r="L234" s="55">
        <v>3</v>
      </c>
      <c r="M234" s="55"/>
      <c r="N234" s="55"/>
      <c r="O234" s="55" t="s">
        <v>70</v>
      </c>
      <c r="P234" s="55" t="s">
        <v>70</v>
      </c>
      <c r="Q234" s="40">
        <v>5</v>
      </c>
      <c r="R234" s="40">
        <v>5</v>
      </c>
      <c r="S234" s="40">
        <v>5</v>
      </c>
      <c r="T234" s="40">
        <v>5</v>
      </c>
      <c r="U234" s="40">
        <v>5</v>
      </c>
      <c r="V234" s="40">
        <v>5</v>
      </c>
      <c r="W234" s="40">
        <v>5</v>
      </c>
      <c r="X234" s="40">
        <v>4</v>
      </c>
      <c r="Y234" s="40">
        <v>5</v>
      </c>
      <c r="Z234" s="40">
        <f t="shared" si="15"/>
        <v>4.8888888888888893</v>
      </c>
      <c r="AA234" s="41">
        <v>4</v>
      </c>
      <c r="AB234" s="41">
        <v>4</v>
      </c>
      <c r="AC234" s="41">
        <v>4</v>
      </c>
      <c r="AD234" s="41">
        <v>4</v>
      </c>
      <c r="AE234" s="41">
        <v>4</v>
      </c>
      <c r="AF234" s="41">
        <v>5</v>
      </c>
      <c r="AG234" s="41">
        <v>5</v>
      </c>
      <c r="AH234" s="41">
        <v>5</v>
      </c>
      <c r="AI234" s="41">
        <v>5</v>
      </c>
      <c r="AJ234" s="41">
        <f t="shared" si="16"/>
        <v>4.4444444444444446</v>
      </c>
      <c r="AK234" s="40">
        <v>2</v>
      </c>
      <c r="AL234" s="40">
        <v>1</v>
      </c>
      <c r="AM234" s="40">
        <v>5</v>
      </c>
      <c r="AN234" s="40">
        <v>5</v>
      </c>
      <c r="AO234" s="40">
        <v>5</v>
      </c>
      <c r="AP234" s="40">
        <v>1</v>
      </c>
      <c r="AQ234" s="40">
        <v>5</v>
      </c>
      <c r="AR234" s="40">
        <v>5</v>
      </c>
      <c r="AS234" s="40">
        <v>4</v>
      </c>
      <c r="AT234" s="40">
        <v>5</v>
      </c>
      <c r="AU234" s="40"/>
      <c r="AV234" s="40">
        <f t="shared" si="18"/>
        <v>3.8</v>
      </c>
      <c r="AW234" s="42">
        <v>4</v>
      </c>
      <c r="AX234" s="42">
        <v>4</v>
      </c>
      <c r="AY234" s="42">
        <v>4</v>
      </c>
      <c r="AZ234" s="42" t="s">
        <v>209</v>
      </c>
      <c r="BA234" s="42">
        <f t="shared" si="17"/>
        <v>4</v>
      </c>
      <c r="BB234" s="43">
        <v>3</v>
      </c>
      <c r="BC234" s="43"/>
      <c r="BD234" s="44">
        <v>4</v>
      </c>
      <c r="BE234" s="44"/>
      <c r="BF234" s="45">
        <v>1</v>
      </c>
      <c r="BG234" s="45">
        <v>1</v>
      </c>
      <c r="BH234" s="45">
        <v>5</v>
      </c>
      <c r="BI234" s="45">
        <f t="shared" si="14"/>
        <v>2.8</v>
      </c>
    </row>
    <row r="235" spans="1:61" ht="16.5" customHeight="1">
      <c r="A235" s="48">
        <v>247</v>
      </c>
      <c r="B235" s="49" t="b">
        <v>1</v>
      </c>
      <c r="C235" s="37" t="s">
        <v>138</v>
      </c>
      <c r="D235" s="37" t="s">
        <v>98</v>
      </c>
      <c r="E235" s="58" t="s">
        <v>77</v>
      </c>
      <c r="F235" s="54" t="s">
        <v>78</v>
      </c>
      <c r="G235" s="54" t="s">
        <v>64</v>
      </c>
      <c r="H235" s="54"/>
      <c r="I235" s="39" t="s">
        <v>65</v>
      </c>
      <c r="J235" s="55" t="s">
        <v>87</v>
      </c>
      <c r="K235" s="55"/>
      <c r="L235" s="39">
        <v>2.5</v>
      </c>
      <c r="M235" s="55"/>
      <c r="N235" s="55"/>
      <c r="O235" s="55" t="s">
        <v>70</v>
      </c>
      <c r="P235" s="55" t="s">
        <v>70</v>
      </c>
      <c r="Q235" s="40">
        <v>3</v>
      </c>
      <c r="R235" s="40">
        <v>2</v>
      </c>
      <c r="S235" s="40">
        <v>2</v>
      </c>
      <c r="T235" s="40">
        <v>2</v>
      </c>
      <c r="U235" s="40">
        <v>3</v>
      </c>
      <c r="V235" s="40">
        <v>2</v>
      </c>
      <c r="W235" s="40">
        <v>3</v>
      </c>
      <c r="X235" s="40">
        <v>2</v>
      </c>
      <c r="Y235" s="40">
        <v>2</v>
      </c>
      <c r="Z235" s="40">
        <f t="shared" si="15"/>
        <v>2.3333333333333335</v>
      </c>
      <c r="AA235" s="41">
        <v>4</v>
      </c>
      <c r="AB235" s="41">
        <v>4</v>
      </c>
      <c r="AC235" s="41">
        <v>4</v>
      </c>
      <c r="AD235" s="41">
        <v>4</v>
      </c>
      <c r="AE235" s="41">
        <v>4</v>
      </c>
      <c r="AF235" s="41">
        <v>4</v>
      </c>
      <c r="AG235" s="41">
        <v>3</v>
      </c>
      <c r="AH235" s="41">
        <v>4</v>
      </c>
      <c r="AI235" s="41">
        <v>4</v>
      </c>
      <c r="AJ235" s="41">
        <f t="shared" si="16"/>
        <v>3.8888888888888888</v>
      </c>
      <c r="AK235" s="40">
        <v>1</v>
      </c>
      <c r="AL235" s="40">
        <v>1</v>
      </c>
      <c r="AM235" s="40">
        <v>1</v>
      </c>
      <c r="AN235" s="40">
        <v>3</v>
      </c>
      <c r="AO235" s="40">
        <v>3</v>
      </c>
      <c r="AP235" s="40">
        <v>2</v>
      </c>
      <c r="AQ235" s="40">
        <v>4</v>
      </c>
      <c r="AR235" s="40">
        <v>1</v>
      </c>
      <c r="AS235" s="40">
        <v>2</v>
      </c>
      <c r="AT235" s="40">
        <v>1</v>
      </c>
      <c r="AU235" s="40"/>
      <c r="AV235" s="40">
        <f t="shared" si="18"/>
        <v>1.9</v>
      </c>
      <c r="AW235" s="42">
        <v>3</v>
      </c>
      <c r="AX235" s="42">
        <v>4</v>
      </c>
      <c r="AY235" s="42"/>
      <c r="AZ235" s="42" t="s">
        <v>209</v>
      </c>
      <c r="BA235" s="42">
        <f t="shared" si="17"/>
        <v>3.5</v>
      </c>
      <c r="BB235" s="43">
        <v>1</v>
      </c>
      <c r="BC235" s="43"/>
      <c r="BD235" s="44">
        <v>4</v>
      </c>
      <c r="BE235" s="44"/>
      <c r="BF235" s="45">
        <v>3</v>
      </c>
      <c r="BG235" s="45">
        <v>3</v>
      </c>
      <c r="BH235" s="45">
        <v>3</v>
      </c>
      <c r="BI235" s="45">
        <f t="shared" si="14"/>
        <v>2.8</v>
      </c>
    </row>
    <row r="236" spans="1:61" ht="16.5" customHeight="1">
      <c r="A236" s="48">
        <v>248</v>
      </c>
      <c r="B236" s="49" t="b">
        <v>1</v>
      </c>
      <c r="C236" s="37" t="s">
        <v>227</v>
      </c>
      <c r="D236" s="37" t="s">
        <v>228</v>
      </c>
      <c r="E236" s="58" t="s">
        <v>77</v>
      </c>
      <c r="F236" s="54" t="s">
        <v>78</v>
      </c>
      <c r="G236" s="54" t="s">
        <v>78</v>
      </c>
      <c r="H236" s="54"/>
      <c r="I236" s="39" t="s">
        <v>65</v>
      </c>
      <c r="J236" s="55" t="s">
        <v>83</v>
      </c>
      <c r="K236" s="55" t="s">
        <v>65</v>
      </c>
      <c r="L236" s="55">
        <v>3</v>
      </c>
      <c r="M236" s="55"/>
      <c r="N236" s="55"/>
      <c r="O236" s="55" t="s">
        <v>70</v>
      </c>
      <c r="P236" s="55"/>
      <c r="Q236" s="40">
        <v>4</v>
      </c>
      <c r="R236" s="40">
        <v>4</v>
      </c>
      <c r="S236" s="40">
        <v>4</v>
      </c>
      <c r="T236" s="40">
        <v>5</v>
      </c>
      <c r="U236" s="40">
        <v>4</v>
      </c>
      <c r="V236" s="40">
        <v>5</v>
      </c>
      <c r="W236" s="40">
        <v>3</v>
      </c>
      <c r="X236" s="40">
        <v>3</v>
      </c>
      <c r="Y236" s="40">
        <v>4</v>
      </c>
      <c r="Z236" s="40">
        <f t="shared" si="15"/>
        <v>4</v>
      </c>
      <c r="AA236" s="41">
        <v>3</v>
      </c>
      <c r="AB236" s="41">
        <v>2</v>
      </c>
      <c r="AC236" s="41">
        <v>5</v>
      </c>
      <c r="AD236" s="41">
        <v>4</v>
      </c>
      <c r="AE236" s="41">
        <v>5</v>
      </c>
      <c r="AF236" s="41">
        <v>5</v>
      </c>
      <c r="AG236" s="41">
        <v>4</v>
      </c>
      <c r="AH236" s="41">
        <v>3</v>
      </c>
      <c r="AI236" s="41">
        <v>4</v>
      </c>
      <c r="AJ236" s="41">
        <f t="shared" si="16"/>
        <v>3.8888888888888888</v>
      </c>
      <c r="AK236" s="40">
        <v>5</v>
      </c>
      <c r="AL236" s="40">
        <v>4</v>
      </c>
      <c r="AM236" s="40">
        <v>5</v>
      </c>
      <c r="AN236" s="40">
        <v>5</v>
      </c>
      <c r="AO236" s="40">
        <v>5</v>
      </c>
      <c r="AP236" s="40">
        <v>5</v>
      </c>
      <c r="AQ236" s="40">
        <v>5</v>
      </c>
      <c r="AR236" s="40">
        <v>5</v>
      </c>
      <c r="AS236" s="40">
        <v>5</v>
      </c>
      <c r="AT236" s="40">
        <v>5</v>
      </c>
      <c r="AU236" s="40"/>
      <c r="AV236" s="40">
        <f t="shared" si="18"/>
        <v>4.9000000000000004</v>
      </c>
      <c r="AW236" s="42">
        <v>5</v>
      </c>
      <c r="AX236" s="42">
        <v>4</v>
      </c>
      <c r="AY236" s="42">
        <v>5</v>
      </c>
      <c r="AZ236" s="42" t="s">
        <v>229</v>
      </c>
      <c r="BA236" s="42">
        <f t="shared" si="17"/>
        <v>4.666666666666667</v>
      </c>
      <c r="BB236" s="43">
        <v>1</v>
      </c>
      <c r="BC236" s="43"/>
      <c r="BD236" s="44"/>
      <c r="BE236" s="44"/>
      <c r="BF236" s="45">
        <v>4</v>
      </c>
      <c r="BG236" s="45">
        <v>5</v>
      </c>
      <c r="BH236" s="45">
        <v>5</v>
      </c>
      <c r="BI236" s="45">
        <f t="shared" si="14"/>
        <v>3.75</v>
      </c>
    </row>
    <row r="237" spans="1:61" ht="16.5" customHeight="1">
      <c r="A237" s="48">
        <v>249</v>
      </c>
      <c r="B237" s="49" t="b">
        <v>1</v>
      </c>
      <c r="C237" s="37" t="s">
        <v>114</v>
      </c>
      <c r="D237" s="37" t="s">
        <v>134</v>
      </c>
      <c r="E237" s="38" t="s">
        <v>73</v>
      </c>
      <c r="F237" s="54" t="s">
        <v>74</v>
      </c>
      <c r="G237" s="54"/>
      <c r="H237" s="54"/>
      <c r="I237" s="46" t="s">
        <v>69</v>
      </c>
      <c r="J237" s="55" t="s">
        <v>87</v>
      </c>
      <c r="K237" s="55"/>
      <c r="L237" s="39">
        <v>2.5</v>
      </c>
      <c r="M237" s="55"/>
      <c r="N237" s="55"/>
      <c r="O237" s="55" t="s">
        <v>70</v>
      </c>
      <c r="P237" s="55"/>
      <c r="Q237" s="40">
        <v>4</v>
      </c>
      <c r="R237" s="40">
        <v>4</v>
      </c>
      <c r="S237" s="40">
        <v>5</v>
      </c>
      <c r="T237" s="40">
        <v>5</v>
      </c>
      <c r="U237" s="40">
        <v>4</v>
      </c>
      <c r="V237" s="40">
        <v>5</v>
      </c>
      <c r="W237" s="40">
        <v>4</v>
      </c>
      <c r="X237" s="40">
        <v>3</v>
      </c>
      <c r="Y237" s="40">
        <v>4</v>
      </c>
      <c r="Z237" s="40">
        <f t="shared" si="15"/>
        <v>4.2222222222222223</v>
      </c>
      <c r="AA237" s="41">
        <v>5</v>
      </c>
      <c r="AB237" s="41">
        <v>4</v>
      </c>
      <c r="AC237" s="41">
        <v>3</v>
      </c>
      <c r="AD237" s="41">
        <v>4</v>
      </c>
      <c r="AE237" s="41">
        <v>4</v>
      </c>
      <c r="AF237" s="41">
        <v>5</v>
      </c>
      <c r="AG237" s="41">
        <v>5</v>
      </c>
      <c r="AH237" s="41">
        <v>3</v>
      </c>
      <c r="AI237" s="41">
        <v>5</v>
      </c>
      <c r="AJ237" s="41">
        <f t="shared" si="16"/>
        <v>4.2222222222222223</v>
      </c>
      <c r="AK237" s="40">
        <v>3</v>
      </c>
      <c r="AL237" s="40">
        <v>1</v>
      </c>
      <c r="AM237" s="40">
        <v>1</v>
      </c>
      <c r="AN237" s="40">
        <v>4</v>
      </c>
      <c r="AO237" s="40">
        <v>5</v>
      </c>
      <c r="AP237" s="40">
        <v>5</v>
      </c>
      <c r="AQ237" s="40">
        <v>5</v>
      </c>
      <c r="AR237" s="40">
        <v>5</v>
      </c>
      <c r="AS237" s="40">
        <v>1</v>
      </c>
      <c r="AT237" s="40">
        <v>4</v>
      </c>
      <c r="AU237" s="40" t="s">
        <v>74</v>
      </c>
      <c r="AV237" s="40">
        <f t="shared" si="18"/>
        <v>3.4</v>
      </c>
      <c r="AW237" s="42">
        <v>2</v>
      </c>
      <c r="AX237" s="42">
        <v>4</v>
      </c>
      <c r="AY237" s="42"/>
      <c r="AZ237" s="42" t="s">
        <v>209</v>
      </c>
      <c r="BA237" s="42">
        <f t="shared" si="17"/>
        <v>3</v>
      </c>
      <c r="BB237" s="43">
        <v>4</v>
      </c>
      <c r="BC237" s="43"/>
      <c r="BD237" s="44"/>
      <c r="BE237" s="44"/>
      <c r="BF237" s="45">
        <v>3</v>
      </c>
      <c r="BG237" s="45">
        <v>2</v>
      </c>
      <c r="BH237" s="45">
        <v>4</v>
      </c>
      <c r="BI237" s="45">
        <f t="shared" si="14"/>
        <v>3.25</v>
      </c>
    </row>
    <row r="238" spans="1:61" ht="16.5" customHeight="1">
      <c r="A238" s="48">
        <v>250</v>
      </c>
      <c r="B238" s="49" t="b">
        <v>1</v>
      </c>
      <c r="C238" s="37" t="s">
        <v>114</v>
      </c>
      <c r="D238" s="37"/>
      <c r="E238" s="38" t="s">
        <v>72</v>
      </c>
      <c r="F238" s="54" t="s">
        <v>105</v>
      </c>
      <c r="G238" s="54" t="s">
        <v>78</v>
      </c>
      <c r="H238" s="54"/>
      <c r="I238" s="46" t="s">
        <v>69</v>
      </c>
      <c r="J238" s="55" t="s">
        <v>83</v>
      </c>
      <c r="K238" s="39" t="s">
        <v>69</v>
      </c>
      <c r="L238" s="55" t="s">
        <v>92</v>
      </c>
      <c r="M238" s="55"/>
      <c r="N238" s="55"/>
      <c r="O238" s="55"/>
      <c r="P238" s="55"/>
      <c r="Q238" s="40"/>
      <c r="R238" s="40">
        <v>4</v>
      </c>
      <c r="S238" s="40">
        <v>4</v>
      </c>
      <c r="T238" s="40">
        <v>4</v>
      </c>
      <c r="U238" s="40">
        <v>4</v>
      </c>
      <c r="V238" s="40">
        <v>3</v>
      </c>
      <c r="W238" s="40">
        <v>3</v>
      </c>
      <c r="X238" s="40">
        <v>1</v>
      </c>
      <c r="Y238" s="40">
        <v>3</v>
      </c>
      <c r="Z238" s="40">
        <f t="shared" si="15"/>
        <v>3.25</v>
      </c>
      <c r="AA238" s="41"/>
      <c r="AB238" s="41">
        <v>4</v>
      </c>
      <c r="AC238" s="41">
        <v>5</v>
      </c>
      <c r="AD238" s="41">
        <v>5</v>
      </c>
      <c r="AE238" s="41">
        <v>5</v>
      </c>
      <c r="AF238" s="41">
        <v>5</v>
      </c>
      <c r="AG238" s="41">
        <v>5</v>
      </c>
      <c r="AH238" s="41">
        <v>5</v>
      </c>
      <c r="AI238" s="41">
        <v>5</v>
      </c>
      <c r="AJ238" s="41">
        <f t="shared" si="16"/>
        <v>4.875</v>
      </c>
      <c r="AK238" s="40"/>
      <c r="AL238" s="40">
        <v>5</v>
      </c>
      <c r="AM238" s="40">
        <v>5</v>
      </c>
      <c r="AN238" s="40">
        <v>5</v>
      </c>
      <c r="AO238" s="40">
        <v>5</v>
      </c>
      <c r="AP238" s="40">
        <v>5</v>
      </c>
      <c r="AQ238" s="40">
        <v>5</v>
      </c>
      <c r="AR238" s="40">
        <v>5</v>
      </c>
      <c r="AS238" s="40">
        <v>3</v>
      </c>
      <c r="AT238" s="40">
        <v>1</v>
      </c>
      <c r="AU238" s="40" t="s">
        <v>74</v>
      </c>
      <c r="AV238" s="40">
        <f t="shared" si="18"/>
        <v>4.333333333333333</v>
      </c>
      <c r="AW238" s="42">
        <v>3</v>
      </c>
      <c r="AX238" s="42">
        <v>4</v>
      </c>
      <c r="AY238" s="42">
        <v>4</v>
      </c>
      <c r="AZ238" s="42" t="s">
        <v>223</v>
      </c>
      <c r="BA238" s="42">
        <f t="shared" si="17"/>
        <v>3.6666666666666665</v>
      </c>
      <c r="BB238" s="43">
        <v>3</v>
      </c>
      <c r="BC238" s="43"/>
      <c r="BD238" s="44">
        <v>4</v>
      </c>
      <c r="BE238" s="44">
        <v>4</v>
      </c>
      <c r="BF238" s="45">
        <v>3</v>
      </c>
      <c r="BG238" s="45"/>
      <c r="BH238" s="45"/>
      <c r="BI238" s="45">
        <f t="shared" si="14"/>
        <v>3.5</v>
      </c>
    </row>
    <row r="239" spans="1:61" ht="16.5" customHeight="1">
      <c r="A239" s="48">
        <v>251</v>
      </c>
      <c r="B239" s="49" t="b">
        <v>1</v>
      </c>
      <c r="C239" s="37" t="s">
        <v>230</v>
      </c>
      <c r="D239" s="37" t="s">
        <v>231</v>
      </c>
      <c r="E239" s="58" t="s">
        <v>232</v>
      </c>
      <c r="F239" s="54" t="s">
        <v>74</v>
      </c>
      <c r="G239" s="54"/>
      <c r="H239" s="54"/>
      <c r="I239" s="39" t="s">
        <v>65</v>
      </c>
      <c r="J239" s="55" t="s">
        <v>83</v>
      </c>
      <c r="K239" s="55"/>
      <c r="L239" s="55">
        <v>2.5</v>
      </c>
      <c r="M239" s="55"/>
      <c r="N239" s="55"/>
      <c r="O239" s="55"/>
      <c r="P239" s="55"/>
      <c r="Q239" s="40">
        <v>3</v>
      </c>
      <c r="R239" s="40">
        <v>3</v>
      </c>
      <c r="S239" s="40">
        <v>3</v>
      </c>
      <c r="T239" s="40">
        <v>3</v>
      </c>
      <c r="U239" s="40">
        <v>1</v>
      </c>
      <c r="V239" s="40">
        <v>3</v>
      </c>
      <c r="W239" s="40">
        <v>3</v>
      </c>
      <c r="X239" s="40">
        <v>1</v>
      </c>
      <c r="Y239" s="40">
        <v>2</v>
      </c>
      <c r="Z239" s="40">
        <f t="shared" si="15"/>
        <v>2.4444444444444446</v>
      </c>
      <c r="AA239" s="41">
        <v>1</v>
      </c>
      <c r="AB239" s="41">
        <v>1</v>
      </c>
      <c r="AC239" s="41">
        <v>2</v>
      </c>
      <c r="AD239" s="41">
        <v>1</v>
      </c>
      <c r="AE239" s="41">
        <v>2</v>
      </c>
      <c r="AF239" s="41">
        <v>1</v>
      </c>
      <c r="AG239" s="41">
        <v>2</v>
      </c>
      <c r="AH239" s="41">
        <v>2</v>
      </c>
      <c r="AI239" s="41">
        <v>2</v>
      </c>
      <c r="AJ239" s="41">
        <f t="shared" si="16"/>
        <v>1.5555555555555556</v>
      </c>
      <c r="AK239" s="40">
        <v>1</v>
      </c>
      <c r="AL239" s="40">
        <v>1</v>
      </c>
      <c r="AM239" s="40">
        <v>1</v>
      </c>
      <c r="AN239" s="40">
        <v>1</v>
      </c>
      <c r="AO239" s="40">
        <v>1</v>
      </c>
      <c r="AP239" s="40">
        <v>1</v>
      </c>
      <c r="AQ239" s="40">
        <v>1</v>
      </c>
      <c r="AR239" s="40">
        <v>1</v>
      </c>
      <c r="AS239" s="40">
        <v>1</v>
      </c>
      <c r="AT239" s="40">
        <v>2</v>
      </c>
      <c r="AU239" s="40" t="s">
        <v>74</v>
      </c>
      <c r="AV239" s="40">
        <f t="shared" si="18"/>
        <v>1.1000000000000001</v>
      </c>
      <c r="AW239" s="42">
        <v>4</v>
      </c>
      <c r="AX239" s="42">
        <v>4</v>
      </c>
      <c r="AY239" s="42"/>
      <c r="AZ239" s="42" t="s">
        <v>209</v>
      </c>
      <c r="BA239" s="42">
        <f t="shared" si="17"/>
        <v>4</v>
      </c>
      <c r="BB239" s="43">
        <v>3</v>
      </c>
      <c r="BC239" s="43"/>
      <c r="BD239" s="44">
        <v>4</v>
      </c>
      <c r="BE239" s="44">
        <v>4</v>
      </c>
      <c r="BF239" s="45">
        <v>2</v>
      </c>
      <c r="BG239" s="45">
        <v>2</v>
      </c>
      <c r="BH239" s="45"/>
      <c r="BI239" s="45">
        <f t="shared" si="14"/>
        <v>3</v>
      </c>
    </row>
    <row r="240" spans="1:61" ht="16.5" customHeight="1">
      <c r="A240" s="48">
        <v>252</v>
      </c>
      <c r="B240" s="49" t="b">
        <v>1</v>
      </c>
      <c r="C240" s="37" t="s">
        <v>84</v>
      </c>
      <c r="D240" s="37" t="s">
        <v>98</v>
      </c>
      <c r="E240" s="38" t="s">
        <v>82</v>
      </c>
      <c r="F240" s="54" t="s">
        <v>78</v>
      </c>
      <c r="G240" s="54"/>
      <c r="H240" s="54"/>
      <c r="I240" s="39" t="s">
        <v>65</v>
      </c>
      <c r="J240" s="55" t="s">
        <v>87</v>
      </c>
      <c r="K240" s="55" t="s">
        <v>65</v>
      </c>
      <c r="L240" s="55">
        <v>3</v>
      </c>
      <c r="M240" s="55"/>
      <c r="N240" s="55"/>
      <c r="O240" s="55" t="s">
        <v>70</v>
      </c>
      <c r="P240" s="55"/>
      <c r="Q240" s="40">
        <v>2</v>
      </c>
      <c r="R240" s="40">
        <v>2</v>
      </c>
      <c r="S240" s="40">
        <v>4</v>
      </c>
      <c r="T240" s="40">
        <v>4</v>
      </c>
      <c r="U240" s="40">
        <v>3</v>
      </c>
      <c r="V240" s="40">
        <v>3</v>
      </c>
      <c r="W240" s="40">
        <v>4</v>
      </c>
      <c r="X240" s="40">
        <v>4</v>
      </c>
      <c r="Y240" s="40">
        <v>3</v>
      </c>
      <c r="Z240" s="40">
        <f t="shared" si="15"/>
        <v>3.2222222222222223</v>
      </c>
      <c r="AA240" s="41">
        <v>3</v>
      </c>
      <c r="AB240" s="41">
        <v>1</v>
      </c>
      <c r="AC240" s="41">
        <v>3</v>
      </c>
      <c r="AD240" s="41">
        <v>2</v>
      </c>
      <c r="AE240" s="41">
        <v>3</v>
      </c>
      <c r="AF240" s="41">
        <v>3</v>
      </c>
      <c r="AG240" s="41">
        <v>4</v>
      </c>
      <c r="AH240" s="41">
        <v>4</v>
      </c>
      <c r="AI240" s="41">
        <v>3</v>
      </c>
      <c r="AJ240" s="41">
        <f t="shared" si="16"/>
        <v>2.8888888888888888</v>
      </c>
      <c r="AK240" s="40">
        <v>1</v>
      </c>
      <c r="AL240" s="40">
        <v>1</v>
      </c>
      <c r="AM240" s="40">
        <v>1</v>
      </c>
      <c r="AN240" s="40">
        <v>1</v>
      </c>
      <c r="AO240" s="40">
        <v>2</v>
      </c>
      <c r="AP240" s="40">
        <v>1</v>
      </c>
      <c r="AQ240" s="40">
        <v>1</v>
      </c>
      <c r="AR240" s="40">
        <v>1</v>
      </c>
      <c r="AS240" s="40">
        <v>1</v>
      </c>
      <c r="AT240" s="40">
        <v>3</v>
      </c>
      <c r="AU240" s="40" t="s">
        <v>74</v>
      </c>
      <c r="AV240" s="40">
        <f t="shared" si="18"/>
        <v>1.3</v>
      </c>
      <c r="AW240" s="42">
        <v>4</v>
      </c>
      <c r="AX240" s="42">
        <v>5</v>
      </c>
      <c r="AY240" s="42">
        <v>5</v>
      </c>
      <c r="AZ240" s="42" t="s">
        <v>233</v>
      </c>
      <c r="BA240" s="42">
        <f t="shared" si="17"/>
        <v>4.666666666666667</v>
      </c>
      <c r="BB240" s="43">
        <v>4</v>
      </c>
      <c r="BC240" s="43">
        <v>3</v>
      </c>
      <c r="BD240" s="44">
        <v>3</v>
      </c>
      <c r="BE240" s="44"/>
      <c r="BF240" s="45">
        <v>2</v>
      </c>
      <c r="BG240" s="45">
        <v>2</v>
      </c>
      <c r="BH240" s="45">
        <v>3</v>
      </c>
      <c r="BI240" s="45">
        <f t="shared" si="14"/>
        <v>2.8333333333333335</v>
      </c>
    </row>
    <row r="241" spans="1:61" ht="16.5" customHeight="1">
      <c r="A241" s="48">
        <v>253</v>
      </c>
      <c r="B241" s="49" t="b">
        <v>1</v>
      </c>
      <c r="C241" s="37" t="s">
        <v>60</v>
      </c>
      <c r="D241" s="37" t="s">
        <v>234</v>
      </c>
      <c r="E241" s="38" t="s">
        <v>82</v>
      </c>
      <c r="F241" s="54" t="s">
        <v>74</v>
      </c>
      <c r="G241" s="54" t="s">
        <v>78</v>
      </c>
      <c r="H241" s="54"/>
      <c r="I241" s="39" t="s">
        <v>65</v>
      </c>
      <c r="J241" s="55" t="s">
        <v>83</v>
      </c>
      <c r="K241" s="55"/>
      <c r="L241" s="55" t="s">
        <v>92</v>
      </c>
      <c r="M241" s="55"/>
      <c r="N241" s="55"/>
      <c r="O241" s="55" t="s">
        <v>70</v>
      </c>
      <c r="P241" s="55"/>
      <c r="Q241" s="40">
        <v>4</v>
      </c>
      <c r="R241" s="40">
        <v>3</v>
      </c>
      <c r="S241" s="40">
        <v>4</v>
      </c>
      <c r="T241" s="40">
        <v>4</v>
      </c>
      <c r="U241" s="40">
        <v>3</v>
      </c>
      <c r="V241" s="40">
        <v>4</v>
      </c>
      <c r="W241" s="40">
        <v>1</v>
      </c>
      <c r="X241" s="40">
        <v>3</v>
      </c>
      <c r="Y241" s="40">
        <v>3</v>
      </c>
      <c r="Z241" s="40">
        <f t="shared" si="15"/>
        <v>3.2222222222222223</v>
      </c>
      <c r="AA241" s="41"/>
      <c r="AB241" s="41">
        <v>5</v>
      </c>
      <c r="AC241" s="41">
        <v>2</v>
      </c>
      <c r="AD241" s="41">
        <v>5</v>
      </c>
      <c r="AE241" s="41">
        <v>2</v>
      </c>
      <c r="AF241" s="41">
        <v>5</v>
      </c>
      <c r="AG241" s="41">
        <v>2</v>
      </c>
      <c r="AH241" s="41">
        <v>3</v>
      </c>
      <c r="AI241" s="41"/>
      <c r="AJ241" s="41">
        <f t="shared" si="16"/>
        <v>3.4285714285714284</v>
      </c>
      <c r="AK241" s="40"/>
      <c r="AL241" s="40">
        <v>5</v>
      </c>
      <c r="AM241" s="40">
        <v>5</v>
      </c>
      <c r="AN241" s="40">
        <v>5</v>
      </c>
      <c r="AO241" s="40">
        <v>5</v>
      </c>
      <c r="AP241" s="40">
        <v>5</v>
      </c>
      <c r="AQ241" s="40">
        <v>5</v>
      </c>
      <c r="AR241" s="40">
        <v>5</v>
      </c>
      <c r="AS241" s="40"/>
      <c r="AT241" s="40">
        <v>2</v>
      </c>
      <c r="AU241" s="40" t="s">
        <v>74</v>
      </c>
      <c r="AV241" s="40">
        <f t="shared" si="18"/>
        <v>4.625</v>
      </c>
      <c r="AW241" s="42">
        <v>4</v>
      </c>
      <c r="AX241" s="42">
        <v>5</v>
      </c>
      <c r="AY241" s="42">
        <v>5</v>
      </c>
      <c r="AZ241" s="42" t="s">
        <v>225</v>
      </c>
      <c r="BA241" s="42">
        <f t="shared" si="17"/>
        <v>4.666666666666667</v>
      </c>
      <c r="BB241" s="43">
        <v>3</v>
      </c>
      <c r="BC241" s="43">
        <v>3</v>
      </c>
      <c r="BD241" s="44">
        <v>5</v>
      </c>
      <c r="BE241" s="44"/>
      <c r="BF241" s="45">
        <v>5</v>
      </c>
      <c r="BG241" s="45">
        <v>5</v>
      </c>
      <c r="BH241" s="45">
        <v>4</v>
      </c>
      <c r="BI241" s="45">
        <f t="shared" si="14"/>
        <v>4.166666666666667</v>
      </c>
    </row>
    <row r="242" spans="1:61" ht="16.5" customHeight="1">
      <c r="A242" s="48">
        <v>254</v>
      </c>
      <c r="B242" s="49" t="b">
        <v>1</v>
      </c>
      <c r="C242" s="37" t="s">
        <v>151</v>
      </c>
      <c r="D242" s="37" t="s">
        <v>85</v>
      </c>
      <c r="E242" s="38" t="s">
        <v>96</v>
      </c>
      <c r="F242" s="54" t="s">
        <v>74</v>
      </c>
      <c r="G242" s="54" t="s">
        <v>64</v>
      </c>
      <c r="H242" s="54"/>
      <c r="I242" s="39" t="s">
        <v>65</v>
      </c>
      <c r="J242" s="55" t="s">
        <v>87</v>
      </c>
      <c r="K242" s="55" t="s">
        <v>65</v>
      </c>
      <c r="L242" s="55">
        <v>3</v>
      </c>
      <c r="M242" s="55"/>
      <c r="N242" s="55"/>
      <c r="O242" s="55" t="s">
        <v>70</v>
      </c>
      <c r="P242" s="55"/>
      <c r="Q242" s="40">
        <v>4</v>
      </c>
      <c r="R242" s="40">
        <v>4</v>
      </c>
      <c r="S242" s="40">
        <v>4</v>
      </c>
      <c r="T242" s="40">
        <v>4</v>
      </c>
      <c r="U242" s="40">
        <v>5</v>
      </c>
      <c r="V242" s="40">
        <v>3</v>
      </c>
      <c r="W242" s="40">
        <v>4</v>
      </c>
      <c r="X242" s="40">
        <v>4</v>
      </c>
      <c r="Y242" s="40">
        <v>3</v>
      </c>
      <c r="Z242" s="40">
        <f t="shared" si="15"/>
        <v>3.8888888888888888</v>
      </c>
      <c r="AA242" s="41">
        <v>5</v>
      </c>
      <c r="AB242" s="41">
        <v>4</v>
      </c>
      <c r="AC242" s="41">
        <v>4</v>
      </c>
      <c r="AD242" s="41">
        <v>4</v>
      </c>
      <c r="AE242" s="41">
        <v>5</v>
      </c>
      <c r="AF242" s="41">
        <v>5</v>
      </c>
      <c r="AG242" s="41">
        <v>5</v>
      </c>
      <c r="AH242" s="41">
        <v>4</v>
      </c>
      <c r="AI242" s="41">
        <v>5</v>
      </c>
      <c r="AJ242" s="41">
        <f t="shared" si="16"/>
        <v>4.5555555555555554</v>
      </c>
      <c r="AK242" s="40">
        <v>3</v>
      </c>
      <c r="AL242" s="40">
        <v>1</v>
      </c>
      <c r="AM242" s="40">
        <v>1</v>
      </c>
      <c r="AN242" s="40">
        <v>5</v>
      </c>
      <c r="AO242" s="40">
        <v>5</v>
      </c>
      <c r="AP242" s="40">
        <v>4</v>
      </c>
      <c r="AQ242" s="40">
        <v>5</v>
      </c>
      <c r="AR242" s="40">
        <v>1</v>
      </c>
      <c r="AS242" s="40">
        <v>5</v>
      </c>
      <c r="AT242" s="40">
        <v>1</v>
      </c>
      <c r="AU242" s="40"/>
      <c r="AV242" s="40">
        <f t="shared" si="18"/>
        <v>3.1</v>
      </c>
      <c r="AW242" s="42">
        <v>4</v>
      </c>
      <c r="AX242" s="42">
        <v>3</v>
      </c>
      <c r="AY242" s="42">
        <v>3</v>
      </c>
      <c r="AZ242" s="42" t="s">
        <v>217</v>
      </c>
      <c r="BA242" s="42">
        <f t="shared" si="17"/>
        <v>3.3333333333333335</v>
      </c>
      <c r="BB242" s="43">
        <v>3</v>
      </c>
      <c r="BC242" s="43"/>
      <c r="BD242" s="44"/>
      <c r="BE242" s="44"/>
      <c r="BF242" s="45">
        <v>1</v>
      </c>
      <c r="BG242" s="45">
        <v>5</v>
      </c>
      <c r="BH242" s="45">
        <v>5</v>
      </c>
      <c r="BI242" s="45">
        <f t="shared" si="14"/>
        <v>3.5</v>
      </c>
    </row>
    <row r="243" spans="1:61" ht="16.5" customHeight="1">
      <c r="A243" s="48">
        <v>255</v>
      </c>
      <c r="B243" s="49" t="b">
        <v>1</v>
      </c>
      <c r="C243" s="37" t="s">
        <v>101</v>
      </c>
      <c r="D243" s="37" t="s">
        <v>98</v>
      </c>
      <c r="E243" s="38" t="s">
        <v>82</v>
      </c>
      <c r="F243" s="54" t="s">
        <v>78</v>
      </c>
      <c r="G243" s="54" t="s">
        <v>64</v>
      </c>
      <c r="H243" s="54"/>
      <c r="I243" s="39" t="s">
        <v>65</v>
      </c>
      <c r="J243" s="55" t="s">
        <v>87</v>
      </c>
      <c r="K243" s="55"/>
      <c r="L243" s="55">
        <v>2.5</v>
      </c>
      <c r="M243" s="55"/>
      <c r="N243" s="55"/>
      <c r="O243" s="55"/>
      <c r="P243" s="55"/>
      <c r="Q243" s="40"/>
      <c r="R243" s="40">
        <v>3</v>
      </c>
      <c r="S243" s="40">
        <v>3</v>
      </c>
      <c r="T243" s="40">
        <v>3</v>
      </c>
      <c r="U243" s="40">
        <v>3</v>
      </c>
      <c r="V243" s="40">
        <v>3</v>
      </c>
      <c r="W243" s="40">
        <v>3</v>
      </c>
      <c r="X243" s="40">
        <v>4</v>
      </c>
      <c r="Y243" s="40">
        <v>3</v>
      </c>
      <c r="Z243" s="40">
        <f t="shared" si="15"/>
        <v>3.125</v>
      </c>
      <c r="AA243" s="41"/>
      <c r="AB243" s="41">
        <v>5</v>
      </c>
      <c r="AC243" s="41">
        <v>4</v>
      </c>
      <c r="AD243" s="41">
        <v>5</v>
      </c>
      <c r="AE243" s="41">
        <v>5</v>
      </c>
      <c r="AF243" s="41">
        <v>5</v>
      </c>
      <c r="AG243" s="41">
        <v>4</v>
      </c>
      <c r="AH243" s="41">
        <v>5</v>
      </c>
      <c r="AI243" s="41">
        <v>5</v>
      </c>
      <c r="AJ243" s="41">
        <f t="shared" si="16"/>
        <v>4.75</v>
      </c>
      <c r="AK243" s="40"/>
      <c r="AL243" s="40">
        <v>3</v>
      </c>
      <c r="AM243" s="40">
        <v>4</v>
      </c>
      <c r="AN243" s="40">
        <v>4</v>
      </c>
      <c r="AO243" s="40">
        <v>3</v>
      </c>
      <c r="AP243" s="40">
        <v>4</v>
      </c>
      <c r="AQ243" s="40">
        <v>4</v>
      </c>
      <c r="AR243" s="40">
        <v>4</v>
      </c>
      <c r="AS243" s="40">
        <v>4</v>
      </c>
      <c r="AT243" s="40">
        <v>3</v>
      </c>
      <c r="AU243" s="40" t="s">
        <v>74</v>
      </c>
      <c r="AV243" s="40">
        <f t="shared" si="18"/>
        <v>3.6666666666666665</v>
      </c>
      <c r="AW243" s="42">
        <v>4</v>
      </c>
      <c r="AX243" s="42">
        <v>5</v>
      </c>
      <c r="AY243" s="42">
        <v>5</v>
      </c>
      <c r="AZ243" s="42" t="s">
        <v>207</v>
      </c>
      <c r="BA243" s="42">
        <f t="shared" si="17"/>
        <v>4.666666666666667</v>
      </c>
      <c r="BB243" s="43">
        <v>5</v>
      </c>
      <c r="BC243" s="43">
        <v>2</v>
      </c>
      <c r="BD243" s="44">
        <v>4</v>
      </c>
      <c r="BE243" s="44">
        <v>3</v>
      </c>
      <c r="BF243" s="45">
        <v>2</v>
      </c>
      <c r="BG243" s="45"/>
      <c r="BH243" s="45"/>
      <c r="BI243" s="45">
        <f t="shared" si="14"/>
        <v>3.2</v>
      </c>
    </row>
    <row r="244" spans="1:61" ht="16.5" customHeight="1">
      <c r="A244" s="48">
        <v>256</v>
      </c>
      <c r="B244" s="49" t="b">
        <v>1</v>
      </c>
      <c r="C244" s="37" t="s">
        <v>114</v>
      </c>
      <c r="D244" s="37" t="s">
        <v>98</v>
      </c>
      <c r="E244" s="38" t="s">
        <v>73</v>
      </c>
      <c r="F244" s="54" t="s">
        <v>63</v>
      </c>
      <c r="G244" s="54" t="s">
        <v>78</v>
      </c>
      <c r="H244" s="54"/>
      <c r="I244" s="46" t="s">
        <v>69</v>
      </c>
      <c r="J244" s="55" t="s">
        <v>87</v>
      </c>
      <c r="K244" s="55"/>
      <c r="L244" s="55" t="s">
        <v>92</v>
      </c>
      <c r="M244" s="55"/>
      <c r="N244" s="55"/>
      <c r="O244" s="55"/>
      <c r="P244" s="55" t="s">
        <v>70</v>
      </c>
      <c r="Q244" s="40">
        <v>5</v>
      </c>
      <c r="R244" s="40">
        <v>5</v>
      </c>
      <c r="S244" s="40">
        <v>5</v>
      </c>
      <c r="T244" s="40">
        <v>5</v>
      </c>
      <c r="U244" s="40">
        <v>4</v>
      </c>
      <c r="V244" s="40">
        <v>4</v>
      </c>
      <c r="W244" s="40">
        <v>5</v>
      </c>
      <c r="X244" s="40">
        <v>3</v>
      </c>
      <c r="Y244" s="40">
        <v>4</v>
      </c>
      <c r="Z244" s="40">
        <f t="shared" si="15"/>
        <v>4.4444444444444446</v>
      </c>
      <c r="AA244" s="41"/>
      <c r="AB244" s="41">
        <v>4</v>
      </c>
      <c r="AC244" s="41">
        <v>4</v>
      </c>
      <c r="AD244" s="41">
        <v>4</v>
      </c>
      <c r="AE244" s="41">
        <v>2</v>
      </c>
      <c r="AF244" s="41">
        <v>4</v>
      </c>
      <c r="AG244" s="41">
        <v>4</v>
      </c>
      <c r="AH244" s="41">
        <v>4</v>
      </c>
      <c r="AI244" s="41">
        <v>4</v>
      </c>
      <c r="AJ244" s="41">
        <f t="shared" si="16"/>
        <v>3.75</v>
      </c>
      <c r="AK244" s="40"/>
      <c r="AL244" s="40">
        <v>3</v>
      </c>
      <c r="AM244" s="40">
        <v>3</v>
      </c>
      <c r="AN244" s="40">
        <v>4</v>
      </c>
      <c r="AO244" s="40">
        <v>3</v>
      </c>
      <c r="AP244" s="40">
        <v>4</v>
      </c>
      <c r="AQ244" s="40">
        <v>4</v>
      </c>
      <c r="AR244" s="40">
        <v>4</v>
      </c>
      <c r="AS244" s="40">
        <v>4</v>
      </c>
      <c r="AT244" s="40">
        <v>4</v>
      </c>
      <c r="AU244" s="40" t="s">
        <v>74</v>
      </c>
      <c r="AV244" s="40">
        <f t="shared" si="18"/>
        <v>3.6666666666666665</v>
      </c>
      <c r="AW244" s="42">
        <v>5</v>
      </c>
      <c r="AX244" s="42">
        <v>5</v>
      </c>
      <c r="AY244" s="42"/>
      <c r="AZ244" s="42" t="s">
        <v>235</v>
      </c>
      <c r="BA244" s="42">
        <f t="shared" si="17"/>
        <v>5</v>
      </c>
      <c r="BB244" s="43">
        <v>3</v>
      </c>
      <c r="BC244" s="43">
        <v>3</v>
      </c>
      <c r="BD244" s="44">
        <v>4</v>
      </c>
      <c r="BE244" s="44"/>
      <c r="BF244" s="45">
        <v>2</v>
      </c>
      <c r="BG244" s="45">
        <v>1</v>
      </c>
      <c r="BH244" s="45">
        <v>4</v>
      </c>
      <c r="BI244" s="45">
        <f t="shared" si="14"/>
        <v>2.8333333333333335</v>
      </c>
    </row>
    <row r="245" spans="1:61" ht="16.5" customHeight="1">
      <c r="A245" s="48">
        <v>257</v>
      </c>
      <c r="B245" s="49" t="b">
        <v>1</v>
      </c>
      <c r="C245" s="37" t="s">
        <v>80</v>
      </c>
      <c r="D245" s="37" t="s">
        <v>236</v>
      </c>
      <c r="E245" s="38" t="s">
        <v>82</v>
      </c>
      <c r="F245" s="54" t="s">
        <v>78</v>
      </c>
      <c r="G245" s="54" t="s">
        <v>78</v>
      </c>
      <c r="H245" s="54"/>
      <c r="I245" s="39" t="s">
        <v>65</v>
      </c>
      <c r="J245" s="55" t="s">
        <v>87</v>
      </c>
      <c r="K245" s="39" t="s">
        <v>69</v>
      </c>
      <c r="L245" s="55">
        <v>3</v>
      </c>
      <c r="M245" s="55"/>
      <c r="N245" s="55"/>
      <c r="O245" s="55"/>
      <c r="P245" s="55" t="s">
        <v>70</v>
      </c>
      <c r="Q245" s="40">
        <v>3</v>
      </c>
      <c r="R245" s="40">
        <v>3</v>
      </c>
      <c r="S245" s="40">
        <v>2</v>
      </c>
      <c r="T245" s="40">
        <v>3</v>
      </c>
      <c r="U245" s="40">
        <v>2</v>
      </c>
      <c r="V245" s="40">
        <v>3</v>
      </c>
      <c r="W245" s="40">
        <v>3</v>
      </c>
      <c r="X245" s="40">
        <v>3</v>
      </c>
      <c r="Y245" s="40">
        <v>3</v>
      </c>
      <c r="Z245" s="40">
        <f t="shared" si="15"/>
        <v>2.7777777777777777</v>
      </c>
      <c r="AA245" s="41">
        <v>4</v>
      </c>
      <c r="AB245" s="41">
        <v>4</v>
      </c>
      <c r="AC245" s="41">
        <v>5</v>
      </c>
      <c r="AD245" s="41">
        <v>5</v>
      </c>
      <c r="AE245" s="41">
        <v>4</v>
      </c>
      <c r="AF245" s="41">
        <v>5</v>
      </c>
      <c r="AG245" s="41">
        <v>5</v>
      </c>
      <c r="AH245" s="41">
        <v>5</v>
      </c>
      <c r="AI245" s="41">
        <v>5</v>
      </c>
      <c r="AJ245" s="41">
        <f t="shared" si="16"/>
        <v>4.666666666666667</v>
      </c>
      <c r="AK245" s="40">
        <v>4</v>
      </c>
      <c r="AL245" s="40">
        <v>4</v>
      </c>
      <c r="AM245" s="40">
        <v>4</v>
      </c>
      <c r="AN245" s="40">
        <v>4</v>
      </c>
      <c r="AO245" s="40">
        <v>5</v>
      </c>
      <c r="AP245" s="40">
        <v>4</v>
      </c>
      <c r="AQ245" s="40">
        <v>4</v>
      </c>
      <c r="AR245" s="40">
        <v>5</v>
      </c>
      <c r="AS245" s="40">
        <v>4</v>
      </c>
      <c r="AT245" s="40">
        <v>4</v>
      </c>
      <c r="AU245" s="40"/>
      <c r="AV245" s="40">
        <f t="shared" si="18"/>
        <v>4.2</v>
      </c>
      <c r="AW245" s="42">
        <v>5</v>
      </c>
      <c r="AX245" s="42">
        <v>5</v>
      </c>
      <c r="AY245" s="42">
        <v>5</v>
      </c>
      <c r="AZ245" s="42" t="s">
        <v>221</v>
      </c>
      <c r="BA245" s="42">
        <f t="shared" si="17"/>
        <v>5</v>
      </c>
      <c r="BB245" s="43">
        <v>5</v>
      </c>
      <c r="BC245" s="43"/>
      <c r="BD245" s="44"/>
      <c r="BE245" s="44"/>
      <c r="BF245" s="45">
        <v>4</v>
      </c>
      <c r="BG245" s="45">
        <v>4</v>
      </c>
      <c r="BH245" s="45">
        <v>5</v>
      </c>
      <c r="BI245" s="45">
        <f t="shared" si="14"/>
        <v>4.5</v>
      </c>
    </row>
    <row r="246" spans="1:61" ht="16.5" customHeight="1">
      <c r="A246" s="48">
        <v>258</v>
      </c>
      <c r="B246" s="49" t="b">
        <v>1</v>
      </c>
      <c r="C246" s="37" t="s">
        <v>80</v>
      </c>
      <c r="D246" s="37" t="s">
        <v>237</v>
      </c>
      <c r="E246" s="38" t="s">
        <v>75</v>
      </c>
      <c r="F246" s="54" t="s">
        <v>78</v>
      </c>
      <c r="G246" s="54" t="s">
        <v>78</v>
      </c>
      <c r="H246" s="54"/>
      <c r="I246" s="46" t="s">
        <v>69</v>
      </c>
      <c r="J246" s="55" t="s">
        <v>87</v>
      </c>
      <c r="K246" s="55" t="s">
        <v>65</v>
      </c>
      <c r="L246" s="55">
        <v>3</v>
      </c>
      <c r="M246" s="55"/>
      <c r="N246" s="55"/>
      <c r="O246" s="55" t="s">
        <v>70</v>
      </c>
      <c r="P246" s="55" t="s">
        <v>70</v>
      </c>
      <c r="Q246" s="40">
        <v>3</v>
      </c>
      <c r="R246" s="40">
        <v>4</v>
      </c>
      <c r="S246" s="40">
        <v>4</v>
      </c>
      <c r="T246" s="40">
        <v>4</v>
      </c>
      <c r="U246" s="40">
        <v>4</v>
      </c>
      <c r="V246" s="40">
        <v>3</v>
      </c>
      <c r="W246" s="40">
        <v>3</v>
      </c>
      <c r="X246" s="40">
        <v>3</v>
      </c>
      <c r="Y246" s="40">
        <v>3</v>
      </c>
      <c r="Z246" s="40">
        <f t="shared" si="15"/>
        <v>3.4444444444444446</v>
      </c>
      <c r="AA246" s="41">
        <v>4</v>
      </c>
      <c r="AB246" s="41">
        <v>5</v>
      </c>
      <c r="AC246" s="41">
        <v>5</v>
      </c>
      <c r="AD246" s="41">
        <v>5</v>
      </c>
      <c r="AE246" s="41">
        <v>4</v>
      </c>
      <c r="AF246" s="41">
        <v>5</v>
      </c>
      <c r="AG246" s="41">
        <v>5</v>
      </c>
      <c r="AH246" s="41">
        <v>5</v>
      </c>
      <c r="AI246" s="41">
        <v>5</v>
      </c>
      <c r="AJ246" s="41">
        <f t="shared" si="16"/>
        <v>4.7777777777777777</v>
      </c>
      <c r="AK246" s="40"/>
      <c r="AL246" s="40">
        <v>4</v>
      </c>
      <c r="AM246" s="40">
        <v>4</v>
      </c>
      <c r="AN246" s="40">
        <v>4</v>
      </c>
      <c r="AO246" s="40"/>
      <c r="AP246" s="40"/>
      <c r="AQ246" s="40">
        <v>4</v>
      </c>
      <c r="AR246" s="40"/>
      <c r="AS246" s="40"/>
      <c r="AT246" s="40"/>
      <c r="AU246" s="40" t="s">
        <v>74</v>
      </c>
      <c r="AV246" s="40">
        <f t="shared" si="18"/>
        <v>4</v>
      </c>
      <c r="AW246" s="42">
        <v>5</v>
      </c>
      <c r="AX246" s="42">
        <v>5</v>
      </c>
      <c r="AY246" s="42">
        <v>5</v>
      </c>
      <c r="AZ246" s="42" t="s">
        <v>221</v>
      </c>
      <c r="BA246" s="42">
        <f t="shared" si="17"/>
        <v>5</v>
      </c>
      <c r="BB246" s="43">
        <v>4</v>
      </c>
      <c r="BC246" s="43"/>
      <c r="BD246" s="44">
        <v>5</v>
      </c>
      <c r="BE246" s="44"/>
      <c r="BF246" s="45">
        <v>4</v>
      </c>
      <c r="BG246" s="45">
        <v>4</v>
      </c>
      <c r="BH246" s="45">
        <v>4</v>
      </c>
      <c r="BI246" s="45">
        <f t="shared" si="14"/>
        <v>4.2</v>
      </c>
    </row>
    <row r="247" spans="1:61" ht="16.5" customHeight="1">
      <c r="A247" s="48">
        <v>259</v>
      </c>
      <c r="B247" s="49" t="b">
        <v>1</v>
      </c>
      <c r="C247" s="37" t="s">
        <v>114</v>
      </c>
      <c r="D247" s="37" t="s">
        <v>134</v>
      </c>
      <c r="E247" s="59" t="s">
        <v>238</v>
      </c>
      <c r="F247" s="54" t="s">
        <v>63</v>
      </c>
      <c r="G247" s="54" t="s">
        <v>78</v>
      </c>
      <c r="H247" s="54"/>
      <c r="I247" s="39" t="s">
        <v>65</v>
      </c>
      <c r="J247" s="55" t="s">
        <v>87</v>
      </c>
      <c r="K247" s="55"/>
      <c r="L247" s="39">
        <v>2.5</v>
      </c>
      <c r="M247" s="55"/>
      <c r="N247" s="55"/>
      <c r="O247" s="55" t="s">
        <v>70</v>
      </c>
      <c r="P247" s="55" t="s">
        <v>70</v>
      </c>
      <c r="Q247" s="40">
        <v>4</v>
      </c>
      <c r="R247" s="40">
        <v>3</v>
      </c>
      <c r="S247" s="40">
        <v>4</v>
      </c>
      <c r="T247" s="40">
        <v>4</v>
      </c>
      <c r="U247" s="40">
        <v>4</v>
      </c>
      <c r="V247" s="40">
        <v>3</v>
      </c>
      <c r="W247" s="40">
        <v>3</v>
      </c>
      <c r="X247" s="40">
        <v>4</v>
      </c>
      <c r="Y247" s="40">
        <v>3</v>
      </c>
      <c r="Z247" s="40">
        <f t="shared" si="15"/>
        <v>3.5555555555555554</v>
      </c>
      <c r="AA247" s="41">
        <v>4</v>
      </c>
      <c r="AB247" s="41">
        <v>4</v>
      </c>
      <c r="AC247" s="41">
        <v>4</v>
      </c>
      <c r="AD247" s="41">
        <v>4</v>
      </c>
      <c r="AE247" s="41">
        <v>4</v>
      </c>
      <c r="AF247" s="41">
        <v>4</v>
      </c>
      <c r="AG247" s="41">
        <v>3</v>
      </c>
      <c r="AH247" s="41">
        <v>3</v>
      </c>
      <c r="AI247" s="41">
        <v>4</v>
      </c>
      <c r="AJ247" s="41">
        <f t="shared" si="16"/>
        <v>3.7777777777777777</v>
      </c>
      <c r="AK247" s="40">
        <v>1</v>
      </c>
      <c r="AL247" s="40">
        <v>1</v>
      </c>
      <c r="AM247" s="40">
        <v>1</v>
      </c>
      <c r="AN247" s="40">
        <v>3</v>
      </c>
      <c r="AO247" s="40">
        <v>3</v>
      </c>
      <c r="AP247" s="40">
        <v>2</v>
      </c>
      <c r="AQ247" s="40">
        <v>3</v>
      </c>
      <c r="AR247" s="40">
        <v>3</v>
      </c>
      <c r="AS247" s="40">
        <v>3</v>
      </c>
      <c r="AT247" s="40">
        <v>4</v>
      </c>
      <c r="AU247" s="40" t="s">
        <v>74</v>
      </c>
      <c r="AV247" s="40">
        <f t="shared" si="18"/>
        <v>2.4</v>
      </c>
      <c r="AW247" s="42">
        <v>5</v>
      </c>
      <c r="AX247" s="42">
        <v>5</v>
      </c>
      <c r="AY247" s="42"/>
      <c r="AZ247" s="60" t="s">
        <v>209</v>
      </c>
      <c r="BA247" s="42">
        <f t="shared" si="17"/>
        <v>5</v>
      </c>
      <c r="BB247" s="43">
        <v>5</v>
      </c>
      <c r="BC247" s="43">
        <v>5</v>
      </c>
      <c r="BD247" s="44">
        <v>4</v>
      </c>
      <c r="BE247" s="44"/>
      <c r="BF247" s="45">
        <v>2</v>
      </c>
      <c r="BG247" s="45">
        <v>4</v>
      </c>
      <c r="BH247" s="45">
        <v>4</v>
      </c>
      <c r="BI247" s="45">
        <f t="shared" si="14"/>
        <v>4</v>
      </c>
    </row>
    <row r="248" spans="1:61" ht="16.5" customHeight="1">
      <c r="A248" s="48">
        <v>260</v>
      </c>
      <c r="B248" s="49" t="b">
        <v>1</v>
      </c>
      <c r="C248" s="37" t="s">
        <v>114</v>
      </c>
      <c r="D248" s="37" t="s">
        <v>186</v>
      </c>
      <c r="E248" s="38" t="s">
        <v>75</v>
      </c>
      <c r="F248" s="54" t="s">
        <v>78</v>
      </c>
      <c r="G248" s="54"/>
      <c r="H248" s="54"/>
      <c r="I248" s="39" t="s">
        <v>65</v>
      </c>
      <c r="J248" s="55" t="s">
        <v>87</v>
      </c>
      <c r="K248" s="55" t="s">
        <v>65</v>
      </c>
      <c r="L248" s="55">
        <v>3</v>
      </c>
      <c r="M248" s="55"/>
      <c r="N248" s="55"/>
      <c r="O248" s="55"/>
      <c r="P248" s="55"/>
      <c r="Q248" s="40"/>
      <c r="R248" s="40">
        <v>3</v>
      </c>
      <c r="S248" s="40">
        <v>4</v>
      </c>
      <c r="T248" s="40">
        <v>4</v>
      </c>
      <c r="U248" s="40">
        <v>4</v>
      </c>
      <c r="V248" s="40">
        <v>4</v>
      </c>
      <c r="W248" s="40">
        <v>2</v>
      </c>
      <c r="X248" s="40">
        <v>3</v>
      </c>
      <c r="Y248" s="40">
        <v>3</v>
      </c>
      <c r="Z248" s="40">
        <f t="shared" si="15"/>
        <v>3.375</v>
      </c>
      <c r="AA248" s="41"/>
      <c r="AB248" s="41">
        <v>3</v>
      </c>
      <c r="AC248" s="41">
        <v>3</v>
      </c>
      <c r="AD248" s="41">
        <v>3</v>
      </c>
      <c r="AE248" s="41">
        <v>4</v>
      </c>
      <c r="AF248" s="41">
        <v>3</v>
      </c>
      <c r="AG248" s="41">
        <v>4</v>
      </c>
      <c r="AH248" s="41">
        <v>3</v>
      </c>
      <c r="AI248" s="41">
        <v>3</v>
      </c>
      <c r="AJ248" s="41">
        <f t="shared" si="16"/>
        <v>3.25</v>
      </c>
      <c r="AK248" s="40"/>
      <c r="AL248" s="40">
        <v>1</v>
      </c>
      <c r="AM248" s="40">
        <v>1</v>
      </c>
      <c r="AN248" s="40">
        <v>3</v>
      </c>
      <c r="AO248" s="40">
        <v>3</v>
      </c>
      <c r="AP248" s="40">
        <v>3</v>
      </c>
      <c r="AQ248" s="40">
        <v>2</v>
      </c>
      <c r="AR248" s="40">
        <v>1</v>
      </c>
      <c r="AS248" s="40">
        <v>1</v>
      </c>
      <c r="AT248" s="40">
        <v>4</v>
      </c>
      <c r="AU248" s="40" t="s">
        <v>74</v>
      </c>
      <c r="AV248" s="40">
        <f t="shared" si="18"/>
        <v>2.1111111111111112</v>
      </c>
      <c r="AW248" s="42">
        <v>5</v>
      </c>
      <c r="AX248" s="42">
        <v>5</v>
      </c>
      <c r="AY248" s="42">
        <v>5</v>
      </c>
      <c r="AZ248" s="60" t="s">
        <v>207</v>
      </c>
      <c r="BA248" s="42">
        <f t="shared" si="17"/>
        <v>5</v>
      </c>
      <c r="BB248" s="43">
        <v>5</v>
      </c>
      <c r="BC248" s="43">
        <v>4</v>
      </c>
      <c r="BD248" s="44">
        <v>4</v>
      </c>
      <c r="BE248" s="44"/>
      <c r="BF248" s="45">
        <v>3</v>
      </c>
      <c r="BG248" s="45"/>
      <c r="BH248" s="45"/>
      <c r="BI248" s="45">
        <f t="shared" si="14"/>
        <v>4</v>
      </c>
    </row>
    <row r="249" spans="1:61" ht="16.5" customHeight="1">
      <c r="A249" s="48">
        <v>261</v>
      </c>
      <c r="B249" s="49" t="b">
        <v>1</v>
      </c>
      <c r="C249" s="37" t="s">
        <v>114</v>
      </c>
      <c r="D249" s="37" t="s">
        <v>222</v>
      </c>
      <c r="E249" s="38" t="s">
        <v>96</v>
      </c>
      <c r="F249" s="54" t="s">
        <v>63</v>
      </c>
      <c r="G249" s="54" t="s">
        <v>78</v>
      </c>
      <c r="H249" s="54"/>
      <c r="I249" s="39" t="s">
        <v>65</v>
      </c>
      <c r="J249" s="55" t="s">
        <v>83</v>
      </c>
      <c r="K249" s="55"/>
      <c r="L249" s="55" t="s">
        <v>92</v>
      </c>
      <c r="M249" s="55"/>
      <c r="N249" s="55"/>
      <c r="O249" s="55" t="s">
        <v>70</v>
      </c>
      <c r="P249" s="55"/>
      <c r="Q249" s="40">
        <v>4</v>
      </c>
      <c r="R249" s="40">
        <v>3</v>
      </c>
      <c r="S249" s="40">
        <v>1</v>
      </c>
      <c r="T249" s="40">
        <v>3</v>
      </c>
      <c r="U249" s="40">
        <v>3</v>
      </c>
      <c r="V249" s="40">
        <v>4</v>
      </c>
      <c r="W249" s="40">
        <v>4</v>
      </c>
      <c r="X249" s="40">
        <v>2</v>
      </c>
      <c r="Y249" s="40">
        <v>3</v>
      </c>
      <c r="Z249" s="40">
        <f t="shared" si="15"/>
        <v>3</v>
      </c>
      <c r="AA249" s="41"/>
      <c r="AB249" s="41">
        <v>5</v>
      </c>
      <c r="AC249" s="41">
        <v>1</v>
      </c>
      <c r="AD249" s="41">
        <v>5</v>
      </c>
      <c r="AE249" s="41">
        <v>5</v>
      </c>
      <c r="AF249" s="41">
        <v>5</v>
      </c>
      <c r="AG249" s="41">
        <v>5</v>
      </c>
      <c r="AH249" s="41">
        <v>5</v>
      </c>
      <c r="AI249" s="41">
        <v>5</v>
      </c>
      <c r="AJ249" s="41">
        <f t="shared" si="16"/>
        <v>4.5</v>
      </c>
      <c r="AK249" s="40"/>
      <c r="AL249" s="40">
        <v>2</v>
      </c>
      <c r="AM249" s="40">
        <v>5</v>
      </c>
      <c r="AN249" s="40">
        <v>5</v>
      </c>
      <c r="AO249" s="40">
        <v>4</v>
      </c>
      <c r="AP249" s="40">
        <v>4</v>
      </c>
      <c r="AQ249" s="40">
        <v>5</v>
      </c>
      <c r="AR249" s="40">
        <v>5</v>
      </c>
      <c r="AS249" s="40">
        <v>5</v>
      </c>
      <c r="AT249" s="40">
        <v>5</v>
      </c>
      <c r="AU249" s="40" t="s">
        <v>74</v>
      </c>
      <c r="AV249" s="40">
        <f t="shared" si="18"/>
        <v>4.4444444444444446</v>
      </c>
      <c r="AW249" s="42">
        <v>4</v>
      </c>
      <c r="AX249" s="42">
        <v>5</v>
      </c>
      <c r="AY249" s="42">
        <v>5</v>
      </c>
      <c r="AZ249" s="60" t="s">
        <v>207</v>
      </c>
      <c r="BA249" s="42">
        <f t="shared" si="17"/>
        <v>4.666666666666667</v>
      </c>
      <c r="BB249" s="43">
        <v>2</v>
      </c>
      <c r="BC249" s="43">
        <v>3</v>
      </c>
      <c r="BD249" s="44">
        <v>5</v>
      </c>
      <c r="BE249" s="44"/>
      <c r="BF249" s="45">
        <v>3</v>
      </c>
      <c r="BG249" s="45">
        <v>4</v>
      </c>
      <c r="BH249" s="45">
        <v>4</v>
      </c>
      <c r="BI249" s="45">
        <f t="shared" si="14"/>
        <v>3.5</v>
      </c>
    </row>
    <row r="250" spans="1:61" ht="16.5" customHeight="1">
      <c r="A250" s="48">
        <v>262</v>
      </c>
      <c r="B250" s="49" t="b">
        <v>1</v>
      </c>
      <c r="C250" s="37" t="s">
        <v>79</v>
      </c>
      <c r="D250" s="37" t="s">
        <v>134</v>
      </c>
      <c r="E250" s="58" t="s">
        <v>77</v>
      </c>
      <c r="F250" s="54" t="s">
        <v>105</v>
      </c>
      <c r="G250" s="54" t="s">
        <v>78</v>
      </c>
      <c r="H250" s="54"/>
      <c r="I250" s="39" t="s">
        <v>65</v>
      </c>
      <c r="J250" s="55" t="s">
        <v>87</v>
      </c>
      <c r="K250" s="55"/>
      <c r="L250" s="39">
        <v>2.5</v>
      </c>
      <c r="M250" s="55"/>
      <c r="N250" s="55"/>
      <c r="O250" s="55" t="s">
        <v>70</v>
      </c>
      <c r="P250" s="55"/>
      <c r="Q250" s="40">
        <v>4</v>
      </c>
      <c r="R250" s="40">
        <v>4</v>
      </c>
      <c r="S250" s="40">
        <v>2</v>
      </c>
      <c r="T250" s="40">
        <v>3</v>
      </c>
      <c r="U250" s="40">
        <v>3</v>
      </c>
      <c r="V250" s="40">
        <v>3</v>
      </c>
      <c r="W250" s="40">
        <v>3</v>
      </c>
      <c r="X250" s="40">
        <v>3</v>
      </c>
      <c r="Y250" s="40">
        <v>3</v>
      </c>
      <c r="Z250" s="40">
        <f t="shared" si="15"/>
        <v>3.1111111111111112</v>
      </c>
      <c r="AA250" s="41">
        <v>4</v>
      </c>
      <c r="AB250" s="41">
        <v>4</v>
      </c>
      <c r="AC250" s="41">
        <v>3</v>
      </c>
      <c r="AD250" s="41">
        <v>3</v>
      </c>
      <c r="AE250" s="41">
        <v>3</v>
      </c>
      <c r="AF250" s="41">
        <v>4</v>
      </c>
      <c r="AG250" s="41">
        <v>4</v>
      </c>
      <c r="AH250" s="41">
        <v>5</v>
      </c>
      <c r="AI250" s="41">
        <v>4</v>
      </c>
      <c r="AJ250" s="41">
        <f t="shared" si="16"/>
        <v>3.7777777777777777</v>
      </c>
      <c r="AK250" s="40">
        <v>5</v>
      </c>
      <c r="AL250" s="40">
        <v>5</v>
      </c>
      <c r="AM250" s="40">
        <v>5</v>
      </c>
      <c r="AN250" s="40">
        <v>5</v>
      </c>
      <c r="AO250" s="40">
        <v>5</v>
      </c>
      <c r="AP250" s="40">
        <v>5</v>
      </c>
      <c r="AQ250" s="40">
        <v>5</v>
      </c>
      <c r="AR250" s="40">
        <v>5</v>
      </c>
      <c r="AS250" s="40">
        <v>5</v>
      </c>
      <c r="AT250" s="40">
        <v>4</v>
      </c>
      <c r="AU250" s="40" t="s">
        <v>74</v>
      </c>
      <c r="AV250" s="40">
        <f t="shared" si="18"/>
        <v>4.9000000000000004</v>
      </c>
      <c r="AW250" s="42">
        <v>4</v>
      </c>
      <c r="AX250" s="42">
        <v>5</v>
      </c>
      <c r="AY250" s="42">
        <v>5</v>
      </c>
      <c r="AZ250" s="60" t="s">
        <v>220</v>
      </c>
      <c r="BA250" s="42">
        <f t="shared" si="17"/>
        <v>4.666666666666667</v>
      </c>
      <c r="BB250" s="43">
        <v>2</v>
      </c>
      <c r="BC250" s="43"/>
      <c r="BD250" s="44"/>
      <c r="BE250" s="44"/>
      <c r="BF250" s="45">
        <v>4</v>
      </c>
      <c r="BG250" s="45">
        <v>4</v>
      </c>
      <c r="BH250" s="45">
        <v>4</v>
      </c>
      <c r="BI250" s="45">
        <f t="shared" si="14"/>
        <v>3.5</v>
      </c>
    </row>
    <row r="251" spans="1:61" ht="16.5" customHeight="1">
      <c r="A251" s="48">
        <v>263</v>
      </c>
      <c r="B251" s="49" t="b">
        <v>1</v>
      </c>
      <c r="C251" s="37" t="s">
        <v>101</v>
      </c>
      <c r="D251" s="37" t="s">
        <v>98</v>
      </c>
      <c r="E251" s="38" t="s">
        <v>201</v>
      </c>
      <c r="F251" s="54" t="s">
        <v>78</v>
      </c>
      <c r="G251" s="54" t="s">
        <v>64</v>
      </c>
      <c r="H251" s="54"/>
      <c r="I251" s="39" t="s">
        <v>65</v>
      </c>
      <c r="J251" s="55" t="s">
        <v>87</v>
      </c>
      <c r="K251" s="55"/>
      <c r="L251" s="55" t="s">
        <v>92</v>
      </c>
      <c r="M251" s="55"/>
      <c r="N251" s="55"/>
      <c r="O251" s="55" t="s">
        <v>70</v>
      </c>
      <c r="P251" s="55" t="s">
        <v>70</v>
      </c>
      <c r="Q251" s="40">
        <v>4</v>
      </c>
      <c r="R251" s="40">
        <v>4</v>
      </c>
      <c r="S251" s="40">
        <v>3</v>
      </c>
      <c r="T251" s="40">
        <v>3</v>
      </c>
      <c r="U251" s="40">
        <v>3</v>
      </c>
      <c r="V251" s="40">
        <v>3</v>
      </c>
      <c r="W251" s="40">
        <v>3</v>
      </c>
      <c r="X251" s="40">
        <v>3</v>
      </c>
      <c r="Y251" s="40">
        <v>3</v>
      </c>
      <c r="Z251" s="40">
        <f t="shared" si="15"/>
        <v>3.2222222222222223</v>
      </c>
      <c r="AA251" s="41"/>
      <c r="AB251" s="41">
        <v>4</v>
      </c>
      <c r="AC251" s="41">
        <v>3</v>
      </c>
      <c r="AD251" s="41">
        <v>3</v>
      </c>
      <c r="AE251" s="41">
        <v>3</v>
      </c>
      <c r="AF251" s="41">
        <v>3</v>
      </c>
      <c r="AG251" s="41">
        <v>3</v>
      </c>
      <c r="AH251" s="41">
        <v>3</v>
      </c>
      <c r="AI251" s="41">
        <v>3</v>
      </c>
      <c r="AJ251" s="41">
        <f t="shared" si="16"/>
        <v>3.125</v>
      </c>
      <c r="AK251" s="40"/>
      <c r="AL251" s="40">
        <v>4</v>
      </c>
      <c r="AM251" s="40">
        <v>4</v>
      </c>
      <c r="AN251" s="40">
        <v>4</v>
      </c>
      <c r="AO251" s="40">
        <v>4</v>
      </c>
      <c r="AP251" s="40">
        <v>4</v>
      </c>
      <c r="AQ251" s="40">
        <v>4</v>
      </c>
      <c r="AR251" s="40">
        <v>4</v>
      </c>
      <c r="AS251" s="40">
        <v>4</v>
      </c>
      <c r="AT251" s="40">
        <v>3</v>
      </c>
      <c r="AU251" s="40" t="s">
        <v>74</v>
      </c>
      <c r="AV251" s="40">
        <f t="shared" si="18"/>
        <v>3.8888888888888888</v>
      </c>
      <c r="AW251" s="42">
        <v>4</v>
      </c>
      <c r="AX251" s="42">
        <v>5</v>
      </c>
      <c r="AY251" s="42">
        <v>5</v>
      </c>
      <c r="AZ251" s="42" t="s">
        <v>217</v>
      </c>
      <c r="BA251" s="42">
        <f t="shared" si="17"/>
        <v>4.666666666666667</v>
      </c>
      <c r="BB251" s="43">
        <v>3</v>
      </c>
      <c r="BC251" s="43">
        <v>4</v>
      </c>
      <c r="BD251" s="44">
        <v>4</v>
      </c>
      <c r="BE251" s="44"/>
      <c r="BF251" s="45">
        <v>3</v>
      </c>
      <c r="BG251" s="45">
        <v>3</v>
      </c>
      <c r="BH251" s="45">
        <v>3</v>
      </c>
      <c r="BI251" s="45">
        <f t="shared" si="14"/>
        <v>3.3333333333333335</v>
      </c>
    </row>
    <row r="252" spans="1:61" ht="16.5" customHeight="1">
      <c r="A252" s="48">
        <v>264</v>
      </c>
      <c r="B252" s="49" t="b">
        <v>1</v>
      </c>
      <c r="C252" s="37" t="s">
        <v>218</v>
      </c>
      <c r="D252" s="37" t="s">
        <v>224</v>
      </c>
      <c r="E252" s="38" t="s">
        <v>72</v>
      </c>
      <c r="F252" s="54" t="s">
        <v>78</v>
      </c>
      <c r="G252" s="54"/>
      <c r="H252" s="54"/>
      <c r="I252" s="46" t="s">
        <v>69</v>
      </c>
      <c r="J252" s="55" t="s">
        <v>83</v>
      </c>
      <c r="K252" s="39" t="s">
        <v>69</v>
      </c>
      <c r="L252" s="55">
        <v>2.5</v>
      </c>
      <c r="M252" s="55"/>
      <c r="N252" s="55"/>
      <c r="O252" s="55" t="s">
        <v>70</v>
      </c>
      <c r="P252" s="55" t="s">
        <v>70</v>
      </c>
      <c r="Q252" s="40">
        <v>3</v>
      </c>
      <c r="R252" s="40">
        <v>5</v>
      </c>
      <c r="S252" s="40">
        <v>5</v>
      </c>
      <c r="T252" s="40">
        <v>4</v>
      </c>
      <c r="U252" s="40">
        <v>5</v>
      </c>
      <c r="V252" s="40">
        <v>5</v>
      </c>
      <c r="W252" s="40">
        <v>4</v>
      </c>
      <c r="X252" s="40">
        <v>3</v>
      </c>
      <c r="Y252" s="40">
        <v>4</v>
      </c>
      <c r="Z252" s="40">
        <f t="shared" si="15"/>
        <v>4.2222222222222223</v>
      </c>
      <c r="AA252" s="41">
        <v>3</v>
      </c>
      <c r="AB252" s="41">
        <v>4</v>
      </c>
      <c r="AC252" s="41">
        <v>4</v>
      </c>
      <c r="AD252" s="41">
        <v>4</v>
      </c>
      <c r="AE252" s="41">
        <v>5</v>
      </c>
      <c r="AF252" s="41">
        <v>5</v>
      </c>
      <c r="AG252" s="41">
        <v>4</v>
      </c>
      <c r="AH252" s="41">
        <v>4</v>
      </c>
      <c r="AI252" s="41">
        <v>5</v>
      </c>
      <c r="AJ252" s="41">
        <f t="shared" si="16"/>
        <v>4.2222222222222223</v>
      </c>
      <c r="AK252" s="40">
        <v>4</v>
      </c>
      <c r="AL252" s="40">
        <v>4</v>
      </c>
      <c r="AM252" s="40">
        <v>4</v>
      </c>
      <c r="AN252" s="40">
        <v>5</v>
      </c>
      <c r="AO252" s="40">
        <v>5</v>
      </c>
      <c r="AP252" s="40">
        <v>5</v>
      </c>
      <c r="AQ252" s="40">
        <v>5</v>
      </c>
      <c r="AR252" s="40">
        <v>4</v>
      </c>
      <c r="AS252" s="40">
        <v>5</v>
      </c>
      <c r="AT252" s="40">
        <v>4</v>
      </c>
      <c r="AU252" s="40" t="s">
        <v>74</v>
      </c>
      <c r="AV252" s="40">
        <f t="shared" si="18"/>
        <v>4.5</v>
      </c>
      <c r="AW252" s="42">
        <v>4</v>
      </c>
      <c r="AX252" s="42">
        <v>5</v>
      </c>
      <c r="AY252" s="42">
        <v>5</v>
      </c>
      <c r="AZ252" s="42" t="s">
        <v>225</v>
      </c>
      <c r="BA252" s="42">
        <f t="shared" si="17"/>
        <v>4.666666666666667</v>
      </c>
      <c r="BB252" s="43">
        <v>2</v>
      </c>
      <c r="BC252" s="43">
        <v>2</v>
      </c>
      <c r="BD252" s="44">
        <v>5</v>
      </c>
      <c r="BE252" s="44"/>
      <c r="BF252" s="45">
        <v>4</v>
      </c>
      <c r="BG252" s="45">
        <v>5</v>
      </c>
      <c r="BH252" s="45">
        <v>5</v>
      </c>
      <c r="BI252" s="45">
        <f t="shared" si="14"/>
        <v>3.8333333333333335</v>
      </c>
    </row>
    <row r="253" spans="1:61" ht="16.5" customHeight="1">
      <c r="A253" s="48">
        <v>265</v>
      </c>
      <c r="B253" s="49" t="b">
        <v>1</v>
      </c>
      <c r="C253" s="37" t="s">
        <v>114</v>
      </c>
      <c r="D253" s="37" t="s">
        <v>134</v>
      </c>
      <c r="E253" s="38" t="s">
        <v>86</v>
      </c>
      <c r="F253" s="54" t="s">
        <v>63</v>
      </c>
      <c r="G253" s="54"/>
      <c r="H253" s="54"/>
      <c r="I253" s="39" t="s">
        <v>65</v>
      </c>
      <c r="J253" s="55" t="s">
        <v>87</v>
      </c>
      <c r="K253" s="55"/>
      <c r="L253" s="39">
        <v>2.5</v>
      </c>
      <c r="M253" s="55"/>
      <c r="N253" s="55"/>
      <c r="O253" s="55" t="s">
        <v>70</v>
      </c>
      <c r="P253" s="55" t="s">
        <v>70</v>
      </c>
      <c r="Q253" s="40">
        <v>3</v>
      </c>
      <c r="R253" s="40">
        <v>3</v>
      </c>
      <c r="S253" s="40">
        <v>4</v>
      </c>
      <c r="T253" s="40">
        <v>4</v>
      </c>
      <c r="U253" s="40">
        <v>4</v>
      </c>
      <c r="V253" s="40">
        <v>4</v>
      </c>
      <c r="W253" s="40">
        <v>4</v>
      </c>
      <c r="X253" s="40">
        <v>2</v>
      </c>
      <c r="Y253" s="40">
        <v>3</v>
      </c>
      <c r="Z253" s="40">
        <f t="shared" si="15"/>
        <v>3.4444444444444446</v>
      </c>
      <c r="AA253" s="41">
        <v>3</v>
      </c>
      <c r="AB253" s="41">
        <v>2</v>
      </c>
      <c r="AC253" s="41">
        <v>1</v>
      </c>
      <c r="AD253" s="41">
        <v>2</v>
      </c>
      <c r="AE253" s="41">
        <v>2</v>
      </c>
      <c r="AF253" s="41">
        <v>2</v>
      </c>
      <c r="AG253" s="41">
        <v>3</v>
      </c>
      <c r="AH253" s="41">
        <v>2</v>
      </c>
      <c r="AI253" s="41">
        <v>2</v>
      </c>
      <c r="AJ253" s="41">
        <f t="shared" si="16"/>
        <v>2.1111111111111112</v>
      </c>
      <c r="AK253" s="40">
        <v>4</v>
      </c>
      <c r="AL253" s="40">
        <v>1</v>
      </c>
      <c r="AM253" s="40">
        <v>1</v>
      </c>
      <c r="AN253" s="40">
        <v>1</v>
      </c>
      <c r="AO253" s="40">
        <v>2</v>
      </c>
      <c r="AP253" s="40">
        <v>4</v>
      </c>
      <c r="AQ253" s="40">
        <v>4</v>
      </c>
      <c r="AR253" s="40">
        <v>2</v>
      </c>
      <c r="AS253" s="40">
        <v>1</v>
      </c>
      <c r="AT253" s="40">
        <v>1</v>
      </c>
      <c r="AU253" s="40" t="s">
        <v>74</v>
      </c>
      <c r="AV253" s="40">
        <f t="shared" si="18"/>
        <v>2.1</v>
      </c>
      <c r="AW253" s="42">
        <v>1</v>
      </c>
      <c r="AX253" s="42">
        <v>4</v>
      </c>
      <c r="AY253" s="42"/>
      <c r="AZ253" s="42" t="s">
        <v>209</v>
      </c>
      <c r="BA253" s="42">
        <f t="shared" si="17"/>
        <v>2.5</v>
      </c>
      <c r="BB253" s="43">
        <v>3</v>
      </c>
      <c r="BC253" s="43">
        <v>4</v>
      </c>
      <c r="BD253" s="44">
        <v>3</v>
      </c>
      <c r="BE253" s="44"/>
      <c r="BF253" s="45">
        <v>1</v>
      </c>
      <c r="BG253" s="45">
        <v>3</v>
      </c>
      <c r="BH253" s="45">
        <v>3</v>
      </c>
      <c r="BI253" s="45">
        <f t="shared" si="14"/>
        <v>2.8333333333333335</v>
      </c>
    </row>
    <row r="254" spans="1:61" ht="16.5" customHeight="1">
      <c r="A254" s="48">
        <v>266</v>
      </c>
      <c r="B254" s="49" t="b">
        <v>1</v>
      </c>
      <c r="C254" s="37" t="s">
        <v>114</v>
      </c>
      <c r="D254" s="37" t="s">
        <v>98</v>
      </c>
      <c r="E254" s="38" t="s">
        <v>72</v>
      </c>
      <c r="F254" s="54" t="s">
        <v>74</v>
      </c>
      <c r="G254" s="54"/>
      <c r="H254" s="54"/>
      <c r="I254" s="39" t="s">
        <v>65</v>
      </c>
      <c r="J254" s="55" t="s">
        <v>87</v>
      </c>
      <c r="K254" s="55" t="s">
        <v>65</v>
      </c>
      <c r="L254" s="55">
        <v>3</v>
      </c>
      <c r="M254" s="55"/>
      <c r="N254" s="55"/>
      <c r="O254" s="55" t="s">
        <v>70</v>
      </c>
      <c r="P254" s="55"/>
      <c r="Q254" s="40">
        <v>4</v>
      </c>
      <c r="R254" s="40">
        <v>3</v>
      </c>
      <c r="S254" s="40">
        <v>4</v>
      </c>
      <c r="T254" s="40">
        <v>4</v>
      </c>
      <c r="U254" s="40">
        <v>5</v>
      </c>
      <c r="V254" s="40">
        <v>4</v>
      </c>
      <c r="W254" s="40">
        <v>4</v>
      </c>
      <c r="X254" s="40">
        <v>2</v>
      </c>
      <c r="Y254" s="40">
        <v>4</v>
      </c>
      <c r="Z254" s="40">
        <f t="shared" si="15"/>
        <v>3.7777777777777777</v>
      </c>
      <c r="AA254" s="41">
        <v>4</v>
      </c>
      <c r="AB254" s="41">
        <v>3</v>
      </c>
      <c r="AC254" s="41">
        <v>4</v>
      </c>
      <c r="AD254" s="41">
        <v>4</v>
      </c>
      <c r="AE254" s="41">
        <v>4</v>
      </c>
      <c r="AF254" s="41">
        <v>4</v>
      </c>
      <c r="AG254" s="41">
        <v>4</v>
      </c>
      <c r="AH254" s="41">
        <v>2</v>
      </c>
      <c r="AI254" s="41">
        <v>4</v>
      </c>
      <c r="AJ254" s="41">
        <f t="shared" si="16"/>
        <v>3.6666666666666665</v>
      </c>
      <c r="AK254" s="40">
        <v>4</v>
      </c>
      <c r="AL254" s="40">
        <v>1</v>
      </c>
      <c r="AM254" s="40">
        <v>2</v>
      </c>
      <c r="AN254" s="40">
        <v>4</v>
      </c>
      <c r="AO254" s="40">
        <v>4</v>
      </c>
      <c r="AP254" s="40">
        <v>4</v>
      </c>
      <c r="AQ254" s="40">
        <v>4</v>
      </c>
      <c r="AR254" s="40">
        <v>1</v>
      </c>
      <c r="AS254" s="40">
        <v>4</v>
      </c>
      <c r="AT254" s="40">
        <v>4</v>
      </c>
      <c r="AU254" s="40"/>
      <c r="AV254" s="40">
        <f t="shared" si="18"/>
        <v>3.2</v>
      </c>
      <c r="AW254" s="42">
        <v>1</v>
      </c>
      <c r="AX254" s="42">
        <v>4</v>
      </c>
      <c r="AY254" s="42">
        <v>3</v>
      </c>
      <c r="AZ254" s="42" t="s">
        <v>209</v>
      </c>
      <c r="BA254" s="42">
        <f t="shared" si="17"/>
        <v>2.6666666666666665</v>
      </c>
      <c r="BB254" s="43">
        <v>3</v>
      </c>
      <c r="BC254" s="43">
        <v>2</v>
      </c>
      <c r="BD254" s="44">
        <v>5</v>
      </c>
      <c r="BE254" s="44"/>
      <c r="BF254" s="45">
        <v>4</v>
      </c>
      <c r="BG254" s="45">
        <v>4</v>
      </c>
      <c r="BH254" s="45">
        <v>4</v>
      </c>
      <c r="BI254" s="45">
        <f t="shared" si="14"/>
        <v>3.6666666666666665</v>
      </c>
    </row>
    <row r="255" spans="1:61" ht="16.5" customHeight="1">
      <c r="A255" s="48">
        <v>267</v>
      </c>
      <c r="B255" s="49" t="b">
        <v>1</v>
      </c>
      <c r="C255" s="37" t="s">
        <v>166</v>
      </c>
      <c r="D255" s="37" t="s">
        <v>153</v>
      </c>
      <c r="E255" s="58" t="s">
        <v>77</v>
      </c>
      <c r="F255" s="54" t="s">
        <v>78</v>
      </c>
      <c r="G255" s="54" t="s">
        <v>64</v>
      </c>
      <c r="H255" s="54"/>
      <c r="I255" s="39" t="s">
        <v>65</v>
      </c>
      <c r="J255" s="55" t="s">
        <v>87</v>
      </c>
      <c r="K255" s="55" t="s">
        <v>65</v>
      </c>
      <c r="L255" s="55">
        <v>3</v>
      </c>
      <c r="M255" s="55"/>
      <c r="N255" s="55"/>
      <c r="O255" s="55" t="s">
        <v>70</v>
      </c>
      <c r="P255" s="55" t="s">
        <v>70</v>
      </c>
      <c r="Q255" s="40">
        <v>2</v>
      </c>
      <c r="R255" s="40">
        <v>3</v>
      </c>
      <c r="S255" s="40">
        <v>3</v>
      </c>
      <c r="T255" s="40">
        <v>4</v>
      </c>
      <c r="U255" s="40">
        <v>4</v>
      </c>
      <c r="V255" s="40">
        <v>2</v>
      </c>
      <c r="W255" s="40">
        <v>3</v>
      </c>
      <c r="X255" s="40">
        <v>2</v>
      </c>
      <c r="Y255" s="40">
        <v>2</v>
      </c>
      <c r="Z255" s="40">
        <f t="shared" si="15"/>
        <v>2.7777777777777777</v>
      </c>
      <c r="AA255" s="41">
        <v>3</v>
      </c>
      <c r="AB255" s="41">
        <v>2</v>
      </c>
      <c r="AC255" s="41">
        <v>3</v>
      </c>
      <c r="AD255" s="41">
        <v>3</v>
      </c>
      <c r="AE255" s="41">
        <v>3</v>
      </c>
      <c r="AF255" s="41"/>
      <c r="AG255" s="41"/>
      <c r="AH255" s="41"/>
      <c r="AI255" s="41">
        <v>3</v>
      </c>
      <c r="AJ255" s="41">
        <f t="shared" si="16"/>
        <v>2.8333333333333335</v>
      </c>
      <c r="AK255" s="40">
        <v>4</v>
      </c>
      <c r="AL255" s="40">
        <v>3</v>
      </c>
      <c r="AM255" s="40">
        <v>3</v>
      </c>
      <c r="AN255" s="40">
        <v>4</v>
      </c>
      <c r="AO255" s="40">
        <v>4</v>
      </c>
      <c r="AP255" s="40">
        <v>4</v>
      </c>
      <c r="AQ255" s="40">
        <v>4</v>
      </c>
      <c r="AR255" s="40">
        <v>4</v>
      </c>
      <c r="AS255" s="40">
        <v>3</v>
      </c>
      <c r="AT255" s="40">
        <v>1</v>
      </c>
      <c r="AU255" s="40"/>
      <c r="AV255" s="40">
        <f t="shared" si="18"/>
        <v>3.4</v>
      </c>
      <c r="AW255" s="42">
        <v>5</v>
      </c>
      <c r="AX255" s="42">
        <v>5</v>
      </c>
      <c r="AY255" s="42"/>
      <c r="AZ255" s="42" t="s">
        <v>209</v>
      </c>
      <c r="BA255" s="42">
        <f t="shared" si="17"/>
        <v>5</v>
      </c>
      <c r="BB255" s="43">
        <v>2</v>
      </c>
      <c r="BC255" s="43"/>
      <c r="BD255" s="44"/>
      <c r="BE255" s="44"/>
      <c r="BF255" s="45">
        <v>3</v>
      </c>
      <c r="BG255" s="45">
        <v>4</v>
      </c>
      <c r="BH255" s="45">
        <v>4</v>
      </c>
      <c r="BI255" s="45">
        <f t="shared" si="14"/>
        <v>3.25</v>
      </c>
    </row>
    <row r="256" spans="1:61" ht="16.5" customHeight="1">
      <c r="A256" s="48">
        <v>268</v>
      </c>
      <c r="B256" s="49" t="b">
        <v>1</v>
      </c>
      <c r="C256" s="37" t="s">
        <v>114</v>
      </c>
      <c r="D256" s="37" t="s">
        <v>85</v>
      </c>
      <c r="E256" s="38" t="s">
        <v>72</v>
      </c>
      <c r="F256" s="54" t="s">
        <v>74</v>
      </c>
      <c r="G256" s="54" t="s">
        <v>64</v>
      </c>
      <c r="H256" s="54"/>
      <c r="I256" s="39" t="s">
        <v>65</v>
      </c>
      <c r="J256" s="55" t="s">
        <v>87</v>
      </c>
      <c r="K256" s="55" t="s">
        <v>65</v>
      </c>
      <c r="L256" s="55">
        <v>3</v>
      </c>
      <c r="M256" s="55"/>
      <c r="N256" s="55"/>
      <c r="O256" s="55" t="s">
        <v>70</v>
      </c>
      <c r="P256" s="55" t="s">
        <v>70</v>
      </c>
      <c r="Q256" s="40">
        <v>3</v>
      </c>
      <c r="R256" s="40">
        <v>4</v>
      </c>
      <c r="S256" s="40">
        <v>3</v>
      </c>
      <c r="T256" s="40">
        <v>4</v>
      </c>
      <c r="U256" s="40">
        <v>2</v>
      </c>
      <c r="V256" s="40">
        <v>5</v>
      </c>
      <c r="W256" s="40">
        <v>4</v>
      </c>
      <c r="X256" s="40">
        <v>4</v>
      </c>
      <c r="Y256" s="40">
        <v>3</v>
      </c>
      <c r="Z256" s="40">
        <f t="shared" si="15"/>
        <v>3.5555555555555554</v>
      </c>
      <c r="AA256" s="41">
        <v>4</v>
      </c>
      <c r="AB256" s="41">
        <v>3</v>
      </c>
      <c r="AC256" s="41">
        <v>4</v>
      </c>
      <c r="AD256" s="41">
        <v>3</v>
      </c>
      <c r="AE256" s="41">
        <v>3</v>
      </c>
      <c r="AF256" s="41">
        <v>4</v>
      </c>
      <c r="AG256" s="41">
        <v>4</v>
      </c>
      <c r="AH256" s="41">
        <v>3</v>
      </c>
      <c r="AI256" s="41">
        <v>3</v>
      </c>
      <c r="AJ256" s="41">
        <f t="shared" si="16"/>
        <v>3.4444444444444446</v>
      </c>
      <c r="AK256" s="40">
        <v>5</v>
      </c>
      <c r="AL256" s="40">
        <v>4</v>
      </c>
      <c r="AM256" s="40">
        <v>1</v>
      </c>
      <c r="AN256" s="40">
        <v>5</v>
      </c>
      <c r="AO256" s="40">
        <v>4</v>
      </c>
      <c r="AP256" s="40">
        <v>4</v>
      </c>
      <c r="AQ256" s="40">
        <v>5</v>
      </c>
      <c r="AR256" s="40">
        <v>5</v>
      </c>
      <c r="AS256" s="40">
        <v>4</v>
      </c>
      <c r="AT256" s="40">
        <v>4</v>
      </c>
      <c r="AU256" s="40"/>
      <c r="AV256" s="40">
        <f t="shared" si="18"/>
        <v>4.0999999999999996</v>
      </c>
      <c r="AW256" s="42">
        <v>5</v>
      </c>
      <c r="AX256" s="42">
        <v>5</v>
      </c>
      <c r="AY256" s="42">
        <v>5</v>
      </c>
      <c r="AZ256" s="42" t="s">
        <v>220</v>
      </c>
      <c r="BA256" s="42">
        <f t="shared" si="17"/>
        <v>5</v>
      </c>
      <c r="BB256" s="43">
        <v>2</v>
      </c>
      <c r="BC256" s="43">
        <v>2</v>
      </c>
      <c r="BD256" s="44"/>
      <c r="BE256" s="44"/>
      <c r="BF256" s="45">
        <v>3</v>
      </c>
      <c r="BG256" s="45">
        <v>4</v>
      </c>
      <c r="BH256" s="45">
        <v>5</v>
      </c>
      <c r="BI256" s="45">
        <f t="shared" si="14"/>
        <v>3.2</v>
      </c>
    </row>
  </sheetData>
  <autoFilter ref="A1:BK256" xr:uid="{144F55C9-222D-472C-B22A-2CCC570B446A}"/>
  <pageMargins left="0.7" right="0.7" top="0.75" bottom="0.75" header="0.3" footer="0.3"/>
  <headerFooter>
    <oddHeader>&amp;L&amp;"Aptos"&amp;10&amp;K000000 Begränsad delning&amp;1#_x000D_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99896-7FBC-476C-8072-0E470BF5FEF3}">
  <sheetPr>
    <pageSetUpPr fitToPage="1"/>
  </sheetPr>
  <dimension ref="A1:CJ277"/>
  <sheetViews>
    <sheetView tabSelected="1" workbookViewId="0">
      <pane xSplit="1" ySplit="1" topLeftCell="K147" activePane="bottomRight" state="frozen"/>
      <selection pane="topRight" activeCell="B1" sqref="B1"/>
      <selection pane="bottomLeft" activeCell="A2" sqref="A2"/>
      <selection pane="bottomRight" activeCell="Y176" sqref="Y176"/>
    </sheetView>
  </sheetViews>
  <sheetFormatPr defaultColWidth="9.140625" defaultRowHeight="15"/>
  <cols>
    <col min="1" max="15" width="9.140625" style="9"/>
    <col min="16" max="18" width="9.140625" style="10"/>
    <col min="19" max="22" width="9.140625" style="15"/>
    <col min="23" max="29" width="9.140625" style="16"/>
    <col min="30" max="42" width="9.140625" style="15"/>
    <col min="43" max="53" width="9.140625" style="6"/>
    <col min="54" max="61" width="9.140625" style="13"/>
    <col min="62" max="68" width="9.140625" style="14" customWidth="1"/>
    <col min="69" max="75" width="9.140625" style="14"/>
    <col min="76" max="82" width="9.140625" style="9"/>
    <col min="83" max="88" width="9.140625" style="21"/>
    <col min="89" max="16384" width="9.140625" style="9"/>
  </cols>
  <sheetData>
    <row r="1" spans="1:88" s="1" customFormat="1" ht="100.5" customHeight="1">
      <c r="A1" s="1" t="s">
        <v>239</v>
      </c>
      <c r="B1" s="1" t="s">
        <v>240</v>
      </c>
      <c r="C1" s="1" t="s">
        <v>241</v>
      </c>
      <c r="D1" s="1" t="s">
        <v>4</v>
      </c>
      <c r="E1" s="1" t="s">
        <v>5</v>
      </c>
      <c r="F1" s="1" t="s">
        <v>242</v>
      </c>
      <c r="G1" s="1" t="s">
        <v>243</v>
      </c>
      <c r="H1" s="1" t="s">
        <v>244</v>
      </c>
      <c r="I1" s="1" t="s">
        <v>245</v>
      </c>
      <c r="J1" s="1" t="s">
        <v>246</v>
      </c>
      <c r="K1" s="1" t="s">
        <v>11</v>
      </c>
      <c r="L1" s="1" t="s">
        <v>12</v>
      </c>
      <c r="M1" s="1" t="s">
        <v>13</v>
      </c>
      <c r="N1" s="1" t="s">
        <v>247</v>
      </c>
      <c r="O1" s="1" t="s">
        <v>248</v>
      </c>
      <c r="P1" s="61" t="s">
        <v>249</v>
      </c>
      <c r="Q1" s="61" t="s">
        <v>250</v>
      </c>
      <c r="R1" s="61" t="s">
        <v>251</v>
      </c>
      <c r="S1" s="2" t="s">
        <v>252</v>
      </c>
      <c r="T1" s="2" t="s">
        <v>253</v>
      </c>
      <c r="U1" s="3" t="s">
        <v>254</v>
      </c>
      <c r="V1" s="4" t="s">
        <v>255</v>
      </c>
      <c r="W1" s="2" t="s">
        <v>256</v>
      </c>
      <c r="X1" s="2" t="s">
        <v>257</v>
      </c>
      <c r="Y1" s="2" t="s">
        <v>258</v>
      </c>
      <c r="Z1" s="2" t="s">
        <v>259</v>
      </c>
      <c r="AA1" s="2" t="s">
        <v>260</v>
      </c>
      <c r="AB1" s="5" t="s">
        <v>261</v>
      </c>
      <c r="AC1" s="4" t="s">
        <v>262</v>
      </c>
      <c r="AD1" s="2" t="s">
        <v>263</v>
      </c>
      <c r="AE1" s="2" t="s">
        <v>264</v>
      </c>
      <c r="AF1" s="2" t="s">
        <v>265</v>
      </c>
      <c r="AG1" s="2" t="s">
        <v>266</v>
      </c>
      <c r="AH1" s="2" t="s">
        <v>267</v>
      </c>
      <c r="AI1" s="5" t="s">
        <v>268</v>
      </c>
      <c r="AJ1" s="4" t="s">
        <v>269</v>
      </c>
      <c r="AK1" s="4" t="s">
        <v>270</v>
      </c>
      <c r="AL1" s="4" t="s">
        <v>271</v>
      </c>
      <c r="AM1" s="4" t="s">
        <v>272</v>
      </c>
      <c r="AN1" s="4" t="s">
        <v>273</v>
      </c>
      <c r="AO1" s="4" t="s">
        <v>274</v>
      </c>
      <c r="AP1" s="4" t="s">
        <v>275</v>
      </c>
      <c r="AQ1" s="6" t="s">
        <v>276</v>
      </c>
      <c r="AR1" s="6" t="s">
        <v>277</v>
      </c>
      <c r="AS1" s="6" t="s">
        <v>278</v>
      </c>
      <c r="AT1" s="6" t="s">
        <v>279</v>
      </c>
      <c r="AU1" s="6" t="s">
        <v>280</v>
      </c>
      <c r="AV1" s="6" t="s">
        <v>281</v>
      </c>
      <c r="AW1" s="6" t="s">
        <v>282</v>
      </c>
      <c r="AX1" s="6" t="s">
        <v>283</v>
      </c>
      <c r="AY1" s="6" t="s">
        <v>284</v>
      </c>
      <c r="AZ1" s="6" t="s">
        <v>285</v>
      </c>
      <c r="BA1" s="6" t="s">
        <v>286</v>
      </c>
      <c r="BB1" s="7" t="s">
        <v>287</v>
      </c>
      <c r="BC1" s="7" t="s">
        <v>288</v>
      </c>
      <c r="BD1" s="7" t="s">
        <v>289</v>
      </c>
      <c r="BE1" s="7" t="s">
        <v>290</v>
      </c>
      <c r="BF1" s="7" t="s">
        <v>291</v>
      </c>
      <c r="BG1" s="7" t="s">
        <v>292</v>
      </c>
      <c r="BH1" s="7" t="s">
        <v>293</v>
      </c>
      <c r="BI1" s="7" t="s">
        <v>294</v>
      </c>
      <c r="BJ1" s="8" t="s">
        <v>295</v>
      </c>
      <c r="BK1" s="8" t="s">
        <v>296</v>
      </c>
      <c r="BL1" s="8" t="s">
        <v>297</v>
      </c>
      <c r="BM1" s="8" t="s">
        <v>298</v>
      </c>
      <c r="BN1" s="8" t="s">
        <v>299</v>
      </c>
      <c r="BO1" s="8" t="s">
        <v>300</v>
      </c>
      <c r="BP1" s="8" t="s">
        <v>301</v>
      </c>
      <c r="BQ1" s="8" t="s">
        <v>302</v>
      </c>
      <c r="BR1" s="8" t="s">
        <v>303</v>
      </c>
      <c r="BS1" s="8" t="s">
        <v>304</v>
      </c>
      <c r="BT1" s="8" t="s">
        <v>305</v>
      </c>
      <c r="BU1" s="8" t="s">
        <v>306</v>
      </c>
      <c r="BV1" s="8" t="s">
        <v>307</v>
      </c>
      <c r="BW1" s="8" t="s">
        <v>308</v>
      </c>
      <c r="BX1" s="17" t="s">
        <v>309</v>
      </c>
      <c r="BY1" s="17" t="s">
        <v>310</v>
      </c>
      <c r="BZ1" s="17" t="s">
        <v>311</v>
      </c>
      <c r="CA1" s="17" t="s">
        <v>312</v>
      </c>
      <c r="CB1" s="18" t="s">
        <v>313</v>
      </c>
      <c r="CC1" s="18" t="s">
        <v>314</v>
      </c>
      <c r="CD1" s="18" t="s">
        <v>315</v>
      </c>
      <c r="CE1" s="19" t="s">
        <v>316</v>
      </c>
      <c r="CF1" s="19" t="s">
        <v>317</v>
      </c>
      <c r="CG1" s="19" t="s">
        <v>318</v>
      </c>
      <c r="CH1" s="19" t="s">
        <v>319</v>
      </c>
      <c r="CI1" s="20" t="s">
        <v>320</v>
      </c>
      <c r="CJ1" s="22" t="s">
        <v>321</v>
      </c>
    </row>
    <row r="2" spans="1:88">
      <c r="A2" s="9">
        <v>1</v>
      </c>
      <c r="B2" s="9" t="s">
        <v>60</v>
      </c>
      <c r="C2" s="9" t="s">
        <v>61</v>
      </c>
      <c r="D2" s="9" t="s">
        <v>62</v>
      </c>
      <c r="E2" s="9" t="s">
        <v>63</v>
      </c>
      <c r="F2" s="9" t="s">
        <v>64</v>
      </c>
      <c r="H2" s="9" t="s">
        <v>65</v>
      </c>
      <c r="I2" s="9" t="s">
        <v>65</v>
      </c>
      <c r="K2" s="9" t="s">
        <v>322</v>
      </c>
      <c r="P2" s="10">
        <v>5</v>
      </c>
      <c r="Q2" s="10">
        <v>5</v>
      </c>
      <c r="R2" s="10">
        <v>3</v>
      </c>
      <c r="S2" s="10">
        <v>5</v>
      </c>
      <c r="T2" s="10">
        <v>5</v>
      </c>
      <c r="U2" s="10">
        <v>3</v>
      </c>
      <c r="V2" s="10">
        <v>4.333333333333333</v>
      </c>
      <c r="W2" s="11">
        <v>3</v>
      </c>
      <c r="X2" s="11">
        <v>4</v>
      </c>
      <c r="Y2" s="11"/>
      <c r="Z2" s="11">
        <v>4</v>
      </c>
      <c r="AA2" s="11">
        <v>2.5</v>
      </c>
      <c r="AB2" s="11">
        <v>2</v>
      </c>
      <c r="AC2" s="11">
        <v>2.5833333333333335</v>
      </c>
      <c r="AD2" s="10"/>
      <c r="AE2" s="10"/>
      <c r="AF2" s="10"/>
      <c r="AG2" s="10"/>
      <c r="AH2" s="10"/>
      <c r="AI2" s="10"/>
      <c r="AJ2" s="10">
        <v>3</v>
      </c>
      <c r="AK2" s="10">
        <v>5</v>
      </c>
      <c r="AL2" s="10">
        <v>5</v>
      </c>
      <c r="AM2" s="10">
        <v>5</v>
      </c>
      <c r="AN2" s="10">
        <v>5</v>
      </c>
      <c r="AO2" s="10">
        <v>5</v>
      </c>
      <c r="AP2" s="10">
        <v>5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X2" s="9">
        <f>_xlfn.MINIFS(W2:AB2, W2:AB2, "&gt;0")</f>
        <v>2</v>
      </c>
      <c r="BY2" s="9">
        <f>_xlfn.MINIFS(AD2:AJ2, AD2:AJ2, "&gt;0")</f>
        <v>3</v>
      </c>
      <c r="BZ2" s="9">
        <f>_xlfn.MINIFS(P2:U2, P2:U2, "&gt;0")</f>
        <v>3</v>
      </c>
      <c r="CA2" s="9">
        <f>_xlfn.MINIFS(AK2:AM2, AK2:AM2, "&gt;0")</f>
        <v>5</v>
      </c>
      <c r="CB2" s="9">
        <f>_xlfn.MINIFS(AO2, AO2, "&gt;0")</f>
        <v>5</v>
      </c>
      <c r="CC2" s="9">
        <f>_xlfn.MINIFS(AP2, AP2, "&gt;0")</f>
        <v>5</v>
      </c>
      <c r="CD2" s="9">
        <f>MIN(BX2:CC2)</f>
        <v>2</v>
      </c>
      <c r="CE2" s="21">
        <f>AC2</f>
        <v>2.5833333333333335</v>
      </c>
      <c r="CF2" s="21">
        <f>AJ2</f>
        <v>3</v>
      </c>
      <c r="CG2" s="21">
        <f>V2</f>
        <v>4.333333333333333</v>
      </c>
      <c r="CH2" s="21">
        <f>AN2</f>
        <v>5</v>
      </c>
      <c r="CI2" s="21">
        <f>AP2</f>
        <v>5</v>
      </c>
      <c r="CJ2" s="21">
        <f>AVERAGE(CE2:CI2)</f>
        <v>3.9833333333333334</v>
      </c>
    </row>
    <row r="3" spans="1:88">
      <c r="A3" s="9">
        <v>2</v>
      </c>
      <c r="B3" s="9" t="s">
        <v>60</v>
      </c>
      <c r="C3" s="9" t="s">
        <v>66</v>
      </c>
      <c r="D3" s="9" t="s">
        <v>67</v>
      </c>
      <c r="E3" s="9" t="s">
        <v>68</v>
      </c>
      <c r="F3" s="9" t="s">
        <v>64</v>
      </c>
      <c r="H3" s="9" t="s">
        <v>69</v>
      </c>
      <c r="I3" s="9" t="s">
        <v>69</v>
      </c>
      <c r="K3" s="9" t="s">
        <v>322</v>
      </c>
      <c r="N3" s="9" t="s">
        <v>70</v>
      </c>
      <c r="P3" s="10">
        <v>5</v>
      </c>
      <c r="Q3" s="10">
        <v>5</v>
      </c>
      <c r="R3" s="10">
        <v>3</v>
      </c>
      <c r="S3" s="10">
        <v>5</v>
      </c>
      <c r="T3" s="10">
        <v>5</v>
      </c>
      <c r="U3" s="10">
        <v>5</v>
      </c>
      <c r="V3" s="10">
        <v>4.666666666666667</v>
      </c>
      <c r="W3" s="11">
        <v>1</v>
      </c>
      <c r="X3" s="11">
        <v>5</v>
      </c>
      <c r="Y3" s="11"/>
      <c r="Z3" s="11">
        <v>5</v>
      </c>
      <c r="AA3" s="11">
        <v>5</v>
      </c>
      <c r="AB3" s="11">
        <v>5</v>
      </c>
      <c r="AC3" s="11">
        <v>3.5</v>
      </c>
      <c r="AD3" s="10"/>
      <c r="AE3" s="10"/>
      <c r="AF3" s="10"/>
      <c r="AG3" s="10"/>
      <c r="AH3" s="10"/>
      <c r="AI3" s="10"/>
      <c r="AJ3" s="10">
        <v>5</v>
      </c>
      <c r="AK3" s="10">
        <v>5</v>
      </c>
      <c r="AL3" s="10">
        <v>5</v>
      </c>
      <c r="AM3" s="10">
        <v>5</v>
      </c>
      <c r="AN3" s="10">
        <v>5</v>
      </c>
      <c r="AO3" s="10">
        <v>5</v>
      </c>
      <c r="AP3" s="10">
        <v>5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X3" s="9">
        <f t="shared" ref="BX3:BX23" si="0">_xlfn.MINIFS(W3:AB3, W3:AB3, "&gt;0")</f>
        <v>1</v>
      </c>
      <c r="BY3" s="9">
        <f t="shared" ref="BY3:BY23" si="1">_xlfn.MINIFS(AD3:AJ3, AD3:AJ3, "&gt;0")</f>
        <v>5</v>
      </c>
      <c r="BZ3" s="9">
        <f t="shared" ref="BZ3:BZ23" si="2">_xlfn.MINIFS(P3:U3, P3:U3, "&gt;0")</f>
        <v>3</v>
      </c>
      <c r="CA3" s="9">
        <f t="shared" ref="CA3:CA23" si="3">_xlfn.MINIFS(AK3:AM3, AK3:AM3, "&gt;0")</f>
        <v>5</v>
      </c>
      <c r="CB3" s="9">
        <f t="shared" ref="CB3:CB23" si="4">_xlfn.MINIFS(AO3, AO3, "&gt;0")</f>
        <v>5</v>
      </c>
      <c r="CC3" s="9">
        <f t="shared" ref="CC3:CC23" si="5">_xlfn.MINIFS(AP3, AP3, "&gt;0")</f>
        <v>5</v>
      </c>
      <c r="CD3" s="9">
        <f t="shared" ref="CD3:CD66" si="6">MIN(BX3:CC3)</f>
        <v>1</v>
      </c>
      <c r="CE3" s="21">
        <f t="shared" ref="CE3:CE66" si="7">AC3</f>
        <v>3.5</v>
      </c>
      <c r="CF3" s="21">
        <f t="shared" ref="CF3:CF66" si="8">AJ3</f>
        <v>5</v>
      </c>
      <c r="CG3" s="21">
        <f t="shared" ref="CG3:CG66" si="9">V3</f>
        <v>4.666666666666667</v>
      </c>
      <c r="CH3" s="21">
        <f t="shared" ref="CH3:CH66" si="10">AN3</f>
        <v>5</v>
      </c>
      <c r="CI3" s="21">
        <f t="shared" ref="CI3:CI66" si="11">AP3</f>
        <v>5</v>
      </c>
      <c r="CJ3" s="21">
        <f t="shared" ref="CJ3:CJ66" si="12">AVERAGE(CE3:CI3)</f>
        <v>4.6333333333333337</v>
      </c>
    </row>
    <row r="4" spans="1:88">
      <c r="A4" s="9">
        <v>3</v>
      </c>
      <c r="B4" s="9" t="s">
        <v>60</v>
      </c>
      <c r="C4" s="9" t="s">
        <v>71</v>
      </c>
      <c r="D4" s="9" t="s">
        <v>72</v>
      </c>
      <c r="E4" s="9" t="s">
        <v>63</v>
      </c>
      <c r="F4" s="9" t="s">
        <v>64</v>
      </c>
      <c r="H4" s="9" t="s">
        <v>65</v>
      </c>
      <c r="I4" s="9" t="s">
        <v>65</v>
      </c>
      <c r="K4" s="9" t="s">
        <v>322</v>
      </c>
      <c r="P4" s="10">
        <v>5</v>
      </c>
      <c r="Q4" s="10">
        <v>5</v>
      </c>
      <c r="R4" s="10">
        <v>3</v>
      </c>
      <c r="S4" s="10">
        <v>5</v>
      </c>
      <c r="T4" s="10">
        <v>5</v>
      </c>
      <c r="U4" s="10">
        <v>5</v>
      </c>
      <c r="V4" s="10">
        <v>4.666666666666667</v>
      </c>
      <c r="W4" s="11">
        <v>3</v>
      </c>
      <c r="X4" s="11">
        <v>5</v>
      </c>
      <c r="Y4" s="11"/>
      <c r="Z4" s="11">
        <v>5</v>
      </c>
      <c r="AA4" s="11">
        <v>5</v>
      </c>
      <c r="AB4" s="11">
        <v>5</v>
      </c>
      <c r="AC4" s="11">
        <v>3.8333333333333335</v>
      </c>
      <c r="AD4" s="10"/>
      <c r="AE4" s="10"/>
      <c r="AF4" s="10"/>
      <c r="AG4" s="10"/>
      <c r="AH4" s="10"/>
      <c r="AI4" s="10"/>
      <c r="AJ4" s="10">
        <v>5</v>
      </c>
      <c r="AK4" s="10">
        <v>5</v>
      </c>
      <c r="AL4" s="10">
        <v>5</v>
      </c>
      <c r="AM4" s="10">
        <v>5</v>
      </c>
      <c r="AN4" s="10">
        <v>5</v>
      </c>
      <c r="AO4" s="10">
        <v>5</v>
      </c>
      <c r="AP4" s="10">
        <v>5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X4" s="9">
        <f t="shared" si="0"/>
        <v>3</v>
      </c>
      <c r="BY4" s="9">
        <f t="shared" si="1"/>
        <v>5</v>
      </c>
      <c r="BZ4" s="9">
        <f t="shared" si="2"/>
        <v>3</v>
      </c>
      <c r="CA4" s="9">
        <f t="shared" si="3"/>
        <v>5</v>
      </c>
      <c r="CB4" s="9">
        <f t="shared" si="4"/>
        <v>5</v>
      </c>
      <c r="CC4" s="9">
        <f t="shared" si="5"/>
        <v>5</v>
      </c>
      <c r="CD4" s="9">
        <f t="shared" si="6"/>
        <v>3</v>
      </c>
      <c r="CE4" s="21">
        <f t="shared" si="7"/>
        <v>3.8333333333333335</v>
      </c>
      <c r="CF4" s="21">
        <f t="shared" si="8"/>
        <v>5</v>
      </c>
      <c r="CG4" s="21">
        <f t="shared" si="9"/>
        <v>4.666666666666667</v>
      </c>
      <c r="CH4" s="21">
        <f t="shared" si="10"/>
        <v>5</v>
      </c>
      <c r="CI4" s="21">
        <f t="shared" si="11"/>
        <v>5</v>
      </c>
      <c r="CJ4" s="21">
        <f t="shared" si="12"/>
        <v>4.7</v>
      </c>
    </row>
    <row r="5" spans="1:88">
      <c r="A5" s="9">
        <v>4</v>
      </c>
      <c r="B5" s="9" t="s">
        <v>60</v>
      </c>
      <c r="C5" s="9" t="s">
        <v>61</v>
      </c>
      <c r="D5" s="9" t="s">
        <v>73</v>
      </c>
      <c r="E5" s="9" t="s">
        <v>74</v>
      </c>
      <c r="F5" s="9" t="s">
        <v>64</v>
      </c>
      <c r="H5" s="9" t="s">
        <v>65</v>
      </c>
      <c r="I5" s="9" t="s">
        <v>65</v>
      </c>
      <c r="K5" s="9" t="s">
        <v>322</v>
      </c>
      <c r="P5" s="10">
        <v>5</v>
      </c>
      <c r="Q5" s="10">
        <v>5</v>
      </c>
      <c r="R5" s="10">
        <v>3</v>
      </c>
      <c r="S5" s="10">
        <v>5</v>
      </c>
      <c r="T5" s="10">
        <v>5</v>
      </c>
      <c r="U5" s="10">
        <v>5</v>
      </c>
      <c r="V5" s="10">
        <v>4.666666666666667</v>
      </c>
      <c r="W5" s="11">
        <v>2.5</v>
      </c>
      <c r="X5" s="11">
        <v>5</v>
      </c>
      <c r="Y5" s="11"/>
      <c r="Z5" s="11">
        <v>5</v>
      </c>
      <c r="AA5" s="11">
        <v>5</v>
      </c>
      <c r="AB5" s="11">
        <v>5</v>
      </c>
      <c r="AC5" s="11">
        <v>3.75</v>
      </c>
      <c r="AD5" s="10"/>
      <c r="AE5" s="10"/>
      <c r="AF5" s="10"/>
      <c r="AG5" s="10"/>
      <c r="AH5" s="10"/>
      <c r="AI5" s="10"/>
      <c r="AJ5" s="10">
        <v>5</v>
      </c>
      <c r="AK5" s="10">
        <v>5</v>
      </c>
      <c r="AL5" s="10">
        <v>5</v>
      </c>
      <c r="AM5" s="10">
        <v>5</v>
      </c>
      <c r="AN5" s="10">
        <v>5</v>
      </c>
      <c r="AO5" s="10">
        <v>5</v>
      </c>
      <c r="AP5" s="10">
        <v>5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X5" s="9">
        <f t="shared" si="0"/>
        <v>2.5</v>
      </c>
      <c r="BY5" s="9">
        <f t="shared" si="1"/>
        <v>5</v>
      </c>
      <c r="BZ5" s="9">
        <f t="shared" si="2"/>
        <v>3</v>
      </c>
      <c r="CA5" s="9">
        <f t="shared" si="3"/>
        <v>5</v>
      </c>
      <c r="CB5" s="9">
        <f t="shared" si="4"/>
        <v>5</v>
      </c>
      <c r="CC5" s="9">
        <f t="shared" si="5"/>
        <v>5</v>
      </c>
      <c r="CD5" s="9">
        <f t="shared" si="6"/>
        <v>2.5</v>
      </c>
      <c r="CE5" s="21">
        <f t="shared" si="7"/>
        <v>3.75</v>
      </c>
      <c r="CF5" s="21">
        <f t="shared" si="8"/>
        <v>5</v>
      </c>
      <c r="CG5" s="21">
        <f t="shared" si="9"/>
        <v>4.666666666666667</v>
      </c>
      <c r="CH5" s="21">
        <f t="shared" si="10"/>
        <v>5</v>
      </c>
      <c r="CI5" s="21">
        <f t="shared" si="11"/>
        <v>5</v>
      </c>
      <c r="CJ5" s="21">
        <f t="shared" si="12"/>
        <v>4.6833333333333336</v>
      </c>
    </row>
    <row r="6" spans="1:88">
      <c r="A6" s="9">
        <v>5</v>
      </c>
      <c r="B6" s="9" t="s">
        <v>60</v>
      </c>
      <c r="C6" s="9" t="s">
        <v>66</v>
      </c>
      <c r="D6" s="9" t="s">
        <v>75</v>
      </c>
      <c r="E6" s="9" t="s">
        <v>68</v>
      </c>
      <c r="F6" s="9" t="s">
        <v>64</v>
      </c>
      <c r="H6" s="9" t="s">
        <v>69</v>
      </c>
      <c r="I6" s="9" t="s">
        <v>69</v>
      </c>
      <c r="K6" s="9" t="s">
        <v>322</v>
      </c>
      <c r="N6" s="9" t="s">
        <v>70</v>
      </c>
      <c r="P6" s="10">
        <v>5</v>
      </c>
      <c r="Q6" s="10">
        <v>5</v>
      </c>
      <c r="R6" s="10">
        <v>3</v>
      </c>
      <c r="S6" s="10">
        <v>5</v>
      </c>
      <c r="T6" s="10">
        <v>5</v>
      </c>
      <c r="U6" s="10">
        <v>5</v>
      </c>
      <c r="V6" s="10">
        <v>4.666666666666667</v>
      </c>
      <c r="W6" s="11">
        <v>3</v>
      </c>
      <c r="X6" s="11">
        <v>5</v>
      </c>
      <c r="Y6" s="11"/>
      <c r="Z6" s="11">
        <v>5</v>
      </c>
      <c r="AA6" s="11">
        <v>5</v>
      </c>
      <c r="AB6" s="11">
        <v>5</v>
      </c>
      <c r="AC6" s="11">
        <v>3.8333333333333335</v>
      </c>
      <c r="AD6" s="10"/>
      <c r="AE6" s="10"/>
      <c r="AF6" s="10"/>
      <c r="AG6" s="10"/>
      <c r="AH6" s="10"/>
      <c r="AI6" s="10"/>
      <c r="AJ6" s="10">
        <v>5</v>
      </c>
      <c r="AK6" s="10">
        <v>5</v>
      </c>
      <c r="AL6" s="10">
        <v>5</v>
      </c>
      <c r="AM6" s="10">
        <v>5</v>
      </c>
      <c r="AN6" s="10">
        <v>5</v>
      </c>
      <c r="AO6" s="10">
        <v>5</v>
      </c>
      <c r="AP6" s="10">
        <v>5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X6" s="9">
        <f t="shared" si="0"/>
        <v>3</v>
      </c>
      <c r="BY6" s="9">
        <f t="shared" si="1"/>
        <v>5</v>
      </c>
      <c r="BZ6" s="9">
        <f t="shared" si="2"/>
        <v>3</v>
      </c>
      <c r="CA6" s="9">
        <f t="shared" si="3"/>
        <v>5</v>
      </c>
      <c r="CB6" s="9">
        <f t="shared" si="4"/>
        <v>5</v>
      </c>
      <c r="CC6" s="9">
        <f t="shared" si="5"/>
        <v>5</v>
      </c>
      <c r="CD6" s="9">
        <f t="shared" si="6"/>
        <v>3</v>
      </c>
      <c r="CE6" s="21">
        <f t="shared" si="7"/>
        <v>3.8333333333333335</v>
      </c>
      <c r="CF6" s="21">
        <f t="shared" si="8"/>
        <v>5</v>
      </c>
      <c r="CG6" s="21">
        <f t="shared" si="9"/>
        <v>4.666666666666667</v>
      </c>
      <c r="CH6" s="21">
        <f t="shared" si="10"/>
        <v>5</v>
      </c>
      <c r="CI6" s="21">
        <f t="shared" si="11"/>
        <v>5</v>
      </c>
      <c r="CJ6" s="21">
        <f t="shared" si="12"/>
        <v>4.7</v>
      </c>
    </row>
    <row r="7" spans="1:88">
      <c r="A7" s="9">
        <v>6</v>
      </c>
      <c r="B7" s="9" t="s">
        <v>60</v>
      </c>
      <c r="C7" s="9" t="s">
        <v>76</v>
      </c>
      <c r="D7" s="9" t="s">
        <v>77</v>
      </c>
      <c r="E7" s="9" t="s">
        <v>63</v>
      </c>
      <c r="F7" s="9" t="s">
        <v>64</v>
      </c>
      <c r="H7" s="9" t="s">
        <v>65</v>
      </c>
      <c r="I7" s="9" t="s">
        <v>65</v>
      </c>
      <c r="K7" s="9" t="s">
        <v>322</v>
      </c>
      <c r="P7" s="10">
        <v>3.5</v>
      </c>
      <c r="Q7" s="10">
        <v>5</v>
      </c>
      <c r="R7" s="10">
        <v>3</v>
      </c>
      <c r="S7" s="10">
        <v>5</v>
      </c>
      <c r="T7" s="10">
        <v>5</v>
      </c>
      <c r="U7" s="10">
        <v>5</v>
      </c>
      <c r="V7" s="10">
        <v>4.416666666666667</v>
      </c>
      <c r="W7" s="11">
        <v>3</v>
      </c>
      <c r="X7" s="11">
        <v>5</v>
      </c>
      <c r="Y7" s="11"/>
      <c r="Z7" s="11">
        <v>3</v>
      </c>
      <c r="AA7" s="11">
        <v>1</v>
      </c>
      <c r="AB7" s="11">
        <v>1</v>
      </c>
      <c r="AC7" s="11">
        <v>2.1666666666666665</v>
      </c>
      <c r="AD7" s="10"/>
      <c r="AE7" s="10"/>
      <c r="AF7" s="10"/>
      <c r="AG7" s="10"/>
      <c r="AH7" s="10"/>
      <c r="AI7" s="10"/>
      <c r="AJ7" s="10">
        <v>5</v>
      </c>
      <c r="AK7" s="10">
        <v>5</v>
      </c>
      <c r="AL7" s="10">
        <v>5</v>
      </c>
      <c r="AM7" s="10">
        <v>5</v>
      </c>
      <c r="AN7" s="10">
        <v>5</v>
      </c>
      <c r="AO7" s="10">
        <v>5</v>
      </c>
      <c r="AP7" s="10">
        <v>5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X7" s="9">
        <f t="shared" si="0"/>
        <v>1</v>
      </c>
      <c r="BY7" s="9">
        <f t="shared" si="1"/>
        <v>5</v>
      </c>
      <c r="BZ7" s="9">
        <f t="shared" si="2"/>
        <v>3</v>
      </c>
      <c r="CA7" s="9">
        <f t="shared" si="3"/>
        <v>5</v>
      </c>
      <c r="CB7" s="9">
        <f t="shared" si="4"/>
        <v>5</v>
      </c>
      <c r="CC7" s="9">
        <f t="shared" si="5"/>
        <v>5</v>
      </c>
      <c r="CD7" s="9">
        <f t="shared" si="6"/>
        <v>1</v>
      </c>
      <c r="CE7" s="21">
        <f t="shared" si="7"/>
        <v>2.1666666666666665</v>
      </c>
      <c r="CF7" s="21">
        <f t="shared" si="8"/>
        <v>5</v>
      </c>
      <c r="CG7" s="21">
        <f t="shared" si="9"/>
        <v>4.416666666666667</v>
      </c>
      <c r="CH7" s="21">
        <f t="shared" si="10"/>
        <v>5</v>
      </c>
      <c r="CI7" s="21">
        <f t="shared" si="11"/>
        <v>5</v>
      </c>
      <c r="CJ7" s="21">
        <f t="shared" si="12"/>
        <v>4.3166666666666664</v>
      </c>
    </row>
    <row r="8" spans="1:88">
      <c r="A8" s="9">
        <v>7</v>
      </c>
      <c r="B8" s="9" t="s">
        <v>60</v>
      </c>
      <c r="C8" s="9" t="s">
        <v>76</v>
      </c>
      <c r="D8" s="9" t="s">
        <v>72</v>
      </c>
      <c r="E8" s="9" t="s">
        <v>78</v>
      </c>
      <c r="F8" s="9" t="s">
        <v>64</v>
      </c>
      <c r="H8" s="9" t="s">
        <v>65</v>
      </c>
      <c r="I8" s="9" t="s">
        <v>65</v>
      </c>
      <c r="K8" s="9" t="s">
        <v>322</v>
      </c>
      <c r="N8" s="9" t="s">
        <v>70</v>
      </c>
      <c r="P8" s="10">
        <v>5</v>
      </c>
      <c r="Q8" s="10">
        <v>5</v>
      </c>
      <c r="R8" s="10">
        <v>3</v>
      </c>
      <c r="S8" s="10">
        <v>5</v>
      </c>
      <c r="T8" s="10">
        <v>5</v>
      </c>
      <c r="U8" s="10">
        <v>5</v>
      </c>
      <c r="V8" s="10">
        <v>4.666666666666667</v>
      </c>
      <c r="W8" s="11">
        <v>1</v>
      </c>
      <c r="X8" s="11">
        <v>1</v>
      </c>
      <c r="Y8" s="11"/>
      <c r="Z8" s="11">
        <v>2.5</v>
      </c>
      <c r="AA8" s="11">
        <v>1</v>
      </c>
      <c r="AB8" s="11">
        <v>1</v>
      </c>
      <c r="AC8" s="11">
        <v>1.8333333333333</v>
      </c>
      <c r="AD8" s="10"/>
      <c r="AE8" s="10"/>
      <c r="AF8" s="10"/>
      <c r="AG8" s="10"/>
      <c r="AH8" s="10"/>
      <c r="AI8" s="10"/>
      <c r="AJ8" s="10">
        <v>1</v>
      </c>
      <c r="AK8" s="10">
        <v>5</v>
      </c>
      <c r="AL8" s="10">
        <v>5</v>
      </c>
      <c r="AM8" s="10">
        <v>5</v>
      </c>
      <c r="AN8" s="10">
        <v>5</v>
      </c>
      <c r="AO8" s="10">
        <v>5</v>
      </c>
      <c r="AP8" s="10">
        <v>5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X8" s="9">
        <f t="shared" si="0"/>
        <v>1</v>
      </c>
      <c r="BY8" s="9">
        <f t="shared" si="1"/>
        <v>1</v>
      </c>
      <c r="BZ8" s="9">
        <f t="shared" si="2"/>
        <v>3</v>
      </c>
      <c r="CA8" s="9">
        <f t="shared" si="3"/>
        <v>5</v>
      </c>
      <c r="CB8" s="9">
        <f t="shared" si="4"/>
        <v>5</v>
      </c>
      <c r="CC8" s="9">
        <f t="shared" si="5"/>
        <v>5</v>
      </c>
      <c r="CD8" s="9">
        <f t="shared" si="6"/>
        <v>1</v>
      </c>
      <c r="CE8" s="21">
        <f t="shared" si="7"/>
        <v>1.8333333333333</v>
      </c>
      <c r="CF8" s="21">
        <f t="shared" si="8"/>
        <v>1</v>
      </c>
      <c r="CG8" s="21">
        <f t="shared" si="9"/>
        <v>4.666666666666667</v>
      </c>
      <c r="CH8" s="21">
        <f t="shared" si="10"/>
        <v>5</v>
      </c>
      <c r="CI8" s="21">
        <f t="shared" si="11"/>
        <v>5</v>
      </c>
      <c r="CJ8" s="21">
        <f t="shared" si="12"/>
        <v>3.4999999999999938</v>
      </c>
    </row>
    <row r="9" spans="1:88">
      <c r="A9" s="9">
        <v>8</v>
      </c>
      <c r="B9" s="9" t="s">
        <v>79</v>
      </c>
      <c r="D9" s="9" t="s">
        <v>72</v>
      </c>
      <c r="E9" s="9" t="s">
        <v>63</v>
      </c>
      <c r="F9" s="9" t="s">
        <v>64</v>
      </c>
      <c r="H9" s="9" t="s">
        <v>65</v>
      </c>
      <c r="I9" s="9" t="s">
        <v>65</v>
      </c>
      <c r="K9" s="9" t="s">
        <v>322</v>
      </c>
      <c r="P9" s="10">
        <v>5</v>
      </c>
      <c r="Q9" s="10">
        <v>5</v>
      </c>
      <c r="R9" s="10">
        <v>2</v>
      </c>
      <c r="S9" s="10">
        <v>5</v>
      </c>
      <c r="T9" s="10">
        <v>3</v>
      </c>
      <c r="U9" s="10">
        <v>5</v>
      </c>
      <c r="V9" s="10">
        <v>4.166666666666667</v>
      </c>
      <c r="W9" s="11">
        <v>1.5</v>
      </c>
      <c r="X9" s="11">
        <v>1</v>
      </c>
      <c r="Y9" s="11"/>
      <c r="Z9" s="11">
        <v>1</v>
      </c>
      <c r="AA9" s="11">
        <v>1</v>
      </c>
      <c r="AB9" s="11">
        <v>1</v>
      </c>
      <c r="AC9" s="11">
        <v>0.91666666666666696</v>
      </c>
      <c r="AD9" s="10"/>
      <c r="AE9" s="10"/>
      <c r="AF9" s="10"/>
      <c r="AG9" s="10"/>
      <c r="AH9" s="10"/>
      <c r="AI9" s="10"/>
      <c r="AJ9" s="10">
        <v>1</v>
      </c>
      <c r="AK9" s="10">
        <v>5</v>
      </c>
      <c r="AL9" s="10">
        <v>5</v>
      </c>
      <c r="AM9" s="10">
        <v>5</v>
      </c>
      <c r="AN9" s="10">
        <v>5</v>
      </c>
      <c r="AO9" s="10">
        <v>5</v>
      </c>
      <c r="AP9" s="10">
        <v>5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X9" s="9">
        <f t="shared" si="0"/>
        <v>1</v>
      </c>
      <c r="BY9" s="9">
        <f t="shared" si="1"/>
        <v>1</v>
      </c>
      <c r="BZ9" s="9">
        <f t="shared" si="2"/>
        <v>2</v>
      </c>
      <c r="CA9" s="9">
        <f t="shared" si="3"/>
        <v>5</v>
      </c>
      <c r="CB9" s="9">
        <f t="shared" si="4"/>
        <v>5</v>
      </c>
      <c r="CC9" s="9">
        <f t="shared" si="5"/>
        <v>5</v>
      </c>
      <c r="CD9" s="9">
        <f t="shared" si="6"/>
        <v>1</v>
      </c>
      <c r="CE9" s="21">
        <f t="shared" si="7"/>
        <v>0.91666666666666696</v>
      </c>
      <c r="CF9" s="21">
        <f t="shared" si="8"/>
        <v>1</v>
      </c>
      <c r="CG9" s="21">
        <f t="shared" si="9"/>
        <v>4.166666666666667</v>
      </c>
      <c r="CH9" s="21">
        <f t="shared" si="10"/>
        <v>5</v>
      </c>
      <c r="CI9" s="21">
        <f t="shared" si="11"/>
        <v>5</v>
      </c>
      <c r="CJ9" s="21">
        <f t="shared" si="12"/>
        <v>3.2166666666666672</v>
      </c>
    </row>
    <row r="10" spans="1:88">
      <c r="A10" s="9">
        <v>9</v>
      </c>
      <c r="B10" s="9" t="s">
        <v>80</v>
      </c>
      <c r="C10" s="9" t="s">
        <v>81</v>
      </c>
      <c r="D10" s="9" t="s">
        <v>82</v>
      </c>
      <c r="E10" s="9" t="s">
        <v>63</v>
      </c>
      <c r="F10" s="9" t="s">
        <v>78</v>
      </c>
      <c r="H10" s="9" t="s">
        <v>65</v>
      </c>
      <c r="I10" s="9" t="s">
        <v>83</v>
      </c>
      <c r="J10" s="9" t="s">
        <v>65</v>
      </c>
      <c r="K10" s="9" t="s">
        <v>323</v>
      </c>
      <c r="P10" s="10">
        <v>5</v>
      </c>
      <c r="Q10" s="10">
        <v>5</v>
      </c>
      <c r="R10" s="10">
        <v>5</v>
      </c>
      <c r="S10" s="10">
        <v>3</v>
      </c>
      <c r="T10" s="10">
        <v>5</v>
      </c>
      <c r="U10" s="10">
        <v>5</v>
      </c>
      <c r="V10" s="10">
        <v>4.666666666666667</v>
      </c>
      <c r="W10" s="11">
        <v>1</v>
      </c>
      <c r="X10" s="11">
        <v>1</v>
      </c>
      <c r="Y10" s="11">
        <v>2</v>
      </c>
      <c r="Z10" s="11">
        <v>1.5</v>
      </c>
      <c r="AA10" s="11">
        <v>3.5</v>
      </c>
      <c r="AB10" s="11">
        <v>1</v>
      </c>
      <c r="AC10" s="11">
        <v>1.6666666666666667</v>
      </c>
      <c r="AD10" s="10"/>
      <c r="AE10" s="10"/>
      <c r="AF10" s="10"/>
      <c r="AG10" s="10"/>
      <c r="AH10" s="10"/>
      <c r="AI10" s="10"/>
      <c r="AJ10" s="10">
        <v>5</v>
      </c>
      <c r="AK10" s="10">
        <v>5</v>
      </c>
      <c r="AL10" s="10">
        <v>5</v>
      </c>
      <c r="AM10" s="10">
        <v>5</v>
      </c>
      <c r="AN10" s="10">
        <v>5</v>
      </c>
      <c r="AO10" s="10">
        <v>5</v>
      </c>
      <c r="AP10" s="10">
        <v>5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X10" s="9">
        <f t="shared" si="0"/>
        <v>1</v>
      </c>
      <c r="BY10" s="9">
        <f t="shared" si="1"/>
        <v>5</v>
      </c>
      <c r="BZ10" s="9">
        <f t="shared" si="2"/>
        <v>3</v>
      </c>
      <c r="CA10" s="9">
        <f t="shared" si="3"/>
        <v>5</v>
      </c>
      <c r="CB10" s="9">
        <f t="shared" si="4"/>
        <v>5</v>
      </c>
      <c r="CC10" s="9">
        <f t="shared" si="5"/>
        <v>5</v>
      </c>
      <c r="CD10" s="9">
        <f t="shared" si="6"/>
        <v>1</v>
      </c>
      <c r="CE10" s="21">
        <f t="shared" si="7"/>
        <v>1.6666666666666667</v>
      </c>
      <c r="CF10" s="21">
        <f t="shared" si="8"/>
        <v>5</v>
      </c>
      <c r="CG10" s="21">
        <f t="shared" si="9"/>
        <v>4.666666666666667</v>
      </c>
      <c r="CH10" s="21">
        <f t="shared" si="10"/>
        <v>5</v>
      </c>
      <c r="CI10" s="21">
        <f t="shared" si="11"/>
        <v>5</v>
      </c>
      <c r="CJ10" s="21">
        <f t="shared" si="12"/>
        <v>4.2666666666666675</v>
      </c>
    </row>
    <row r="11" spans="1:88">
      <c r="A11" s="9">
        <v>10</v>
      </c>
      <c r="B11" s="9" t="s">
        <v>84</v>
      </c>
      <c r="C11" s="9" t="s">
        <v>85</v>
      </c>
      <c r="D11" s="9" t="s">
        <v>86</v>
      </c>
      <c r="E11" s="9" t="s">
        <v>74</v>
      </c>
      <c r="F11" s="9" t="s">
        <v>78</v>
      </c>
      <c r="H11" s="9" t="s">
        <v>65</v>
      </c>
      <c r="I11" s="9" t="s">
        <v>87</v>
      </c>
      <c r="J11" s="9" t="s">
        <v>69</v>
      </c>
      <c r="K11" s="9" t="s">
        <v>323</v>
      </c>
      <c r="N11" s="9" t="s">
        <v>70</v>
      </c>
      <c r="P11" s="10">
        <v>3</v>
      </c>
      <c r="Q11" s="10">
        <v>5</v>
      </c>
      <c r="R11" s="10">
        <v>5</v>
      </c>
      <c r="S11" s="10">
        <v>5</v>
      </c>
      <c r="T11" s="10">
        <v>3</v>
      </c>
      <c r="U11" s="10">
        <v>5</v>
      </c>
      <c r="V11" s="10">
        <v>4.333333333333333</v>
      </c>
      <c r="W11" s="11">
        <v>3</v>
      </c>
      <c r="X11" s="11">
        <v>5</v>
      </c>
      <c r="Y11" s="11">
        <v>5</v>
      </c>
      <c r="Z11" s="11">
        <v>5</v>
      </c>
      <c r="AA11" s="11">
        <v>5</v>
      </c>
      <c r="AB11" s="11">
        <v>5</v>
      </c>
      <c r="AC11" s="11">
        <v>4.666666666666667</v>
      </c>
      <c r="AD11" s="10"/>
      <c r="AE11" s="10"/>
      <c r="AF11" s="10"/>
      <c r="AG11" s="10"/>
      <c r="AH11" s="10"/>
      <c r="AI11" s="10"/>
      <c r="AJ11" s="10">
        <v>1</v>
      </c>
      <c r="AK11" s="10">
        <v>5</v>
      </c>
      <c r="AL11" s="10">
        <v>5</v>
      </c>
      <c r="AM11" s="10">
        <v>5</v>
      </c>
      <c r="AN11" s="10">
        <v>5</v>
      </c>
      <c r="AO11" s="10">
        <v>5</v>
      </c>
      <c r="AP11" s="10">
        <v>5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X11" s="9">
        <f t="shared" si="0"/>
        <v>3</v>
      </c>
      <c r="BY11" s="9">
        <f t="shared" si="1"/>
        <v>1</v>
      </c>
      <c r="BZ11" s="9">
        <f t="shared" si="2"/>
        <v>3</v>
      </c>
      <c r="CA11" s="9">
        <f t="shared" si="3"/>
        <v>5</v>
      </c>
      <c r="CB11" s="9">
        <f t="shared" si="4"/>
        <v>5</v>
      </c>
      <c r="CC11" s="9">
        <f t="shared" si="5"/>
        <v>5</v>
      </c>
      <c r="CD11" s="9">
        <f t="shared" si="6"/>
        <v>1</v>
      </c>
      <c r="CE11" s="21">
        <f t="shared" si="7"/>
        <v>4.666666666666667</v>
      </c>
      <c r="CF11" s="21">
        <f t="shared" si="8"/>
        <v>1</v>
      </c>
      <c r="CG11" s="21">
        <f t="shared" si="9"/>
        <v>4.333333333333333</v>
      </c>
      <c r="CH11" s="21">
        <f t="shared" si="10"/>
        <v>5</v>
      </c>
      <c r="CI11" s="21">
        <f t="shared" si="11"/>
        <v>5</v>
      </c>
      <c r="CJ11" s="21">
        <f t="shared" si="12"/>
        <v>4</v>
      </c>
    </row>
    <row r="12" spans="1:88">
      <c r="A12" s="9">
        <v>11</v>
      </c>
      <c r="B12" s="9" t="s">
        <v>80</v>
      </c>
      <c r="D12" s="9" t="s">
        <v>77</v>
      </c>
      <c r="E12" s="9" t="s">
        <v>78</v>
      </c>
      <c r="F12" s="9" t="s">
        <v>64</v>
      </c>
      <c r="H12" s="9" t="s">
        <v>65</v>
      </c>
      <c r="I12" s="9" t="s">
        <v>83</v>
      </c>
      <c r="K12" s="9" t="s">
        <v>322</v>
      </c>
      <c r="N12" s="9" t="s">
        <v>70</v>
      </c>
      <c r="P12" s="10">
        <v>1</v>
      </c>
      <c r="Q12" s="10">
        <v>1</v>
      </c>
      <c r="R12" s="10">
        <v>4</v>
      </c>
      <c r="S12" s="10">
        <v>5</v>
      </c>
      <c r="T12" s="10">
        <v>1</v>
      </c>
      <c r="U12" s="10">
        <v>1</v>
      </c>
      <c r="V12" s="10">
        <v>2.1666666666666665</v>
      </c>
      <c r="W12" s="11">
        <v>1</v>
      </c>
      <c r="X12" s="11">
        <v>1</v>
      </c>
      <c r="Y12" s="11">
        <v>1</v>
      </c>
      <c r="Z12" s="11">
        <v>3</v>
      </c>
      <c r="AA12" s="11">
        <v>3</v>
      </c>
      <c r="AB12" s="11">
        <v>1</v>
      </c>
      <c r="AC12" s="11">
        <v>1.6666666666666667</v>
      </c>
      <c r="AD12" s="10"/>
      <c r="AE12" s="10"/>
      <c r="AF12" s="10"/>
      <c r="AG12" s="10"/>
      <c r="AH12" s="10"/>
      <c r="AI12" s="10"/>
      <c r="AJ12" s="10">
        <v>1</v>
      </c>
      <c r="AK12" s="10">
        <v>5</v>
      </c>
      <c r="AL12" s="10">
        <v>5</v>
      </c>
      <c r="AM12" s="10">
        <v>5</v>
      </c>
      <c r="AN12" s="10">
        <v>5</v>
      </c>
      <c r="AO12" s="10">
        <v>5</v>
      </c>
      <c r="AP12" s="10">
        <v>5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X12" s="9">
        <f t="shared" si="0"/>
        <v>1</v>
      </c>
      <c r="BY12" s="9">
        <f t="shared" si="1"/>
        <v>1</v>
      </c>
      <c r="BZ12" s="9">
        <f t="shared" si="2"/>
        <v>1</v>
      </c>
      <c r="CA12" s="9">
        <f t="shared" si="3"/>
        <v>5</v>
      </c>
      <c r="CB12" s="9">
        <f t="shared" si="4"/>
        <v>5</v>
      </c>
      <c r="CC12" s="9">
        <f t="shared" si="5"/>
        <v>5</v>
      </c>
      <c r="CD12" s="9">
        <f t="shared" si="6"/>
        <v>1</v>
      </c>
      <c r="CE12" s="21">
        <f t="shared" si="7"/>
        <v>1.6666666666666667</v>
      </c>
      <c r="CF12" s="21">
        <f t="shared" si="8"/>
        <v>1</v>
      </c>
      <c r="CG12" s="21">
        <f t="shared" si="9"/>
        <v>2.1666666666666665</v>
      </c>
      <c r="CH12" s="21">
        <f t="shared" si="10"/>
        <v>5</v>
      </c>
      <c r="CI12" s="21">
        <f t="shared" si="11"/>
        <v>5</v>
      </c>
      <c r="CJ12" s="21">
        <f t="shared" si="12"/>
        <v>2.9666666666666668</v>
      </c>
    </row>
    <row r="13" spans="1:88">
      <c r="A13" s="9">
        <v>12</v>
      </c>
      <c r="B13" s="9" t="s">
        <v>88</v>
      </c>
      <c r="C13" s="9" t="s">
        <v>89</v>
      </c>
      <c r="D13" s="9" t="s">
        <v>72</v>
      </c>
      <c r="E13" s="9" t="s">
        <v>63</v>
      </c>
      <c r="F13" s="9" t="s">
        <v>78</v>
      </c>
      <c r="H13" s="9" t="s">
        <v>65</v>
      </c>
      <c r="I13" s="9" t="s">
        <v>83</v>
      </c>
      <c r="J13" s="9" t="s">
        <v>65</v>
      </c>
      <c r="K13" s="9" t="s">
        <v>323</v>
      </c>
      <c r="N13" s="9" t="s">
        <v>70</v>
      </c>
      <c r="P13" s="10">
        <v>5</v>
      </c>
      <c r="Q13" s="10">
        <v>5</v>
      </c>
      <c r="R13" s="10">
        <v>5</v>
      </c>
      <c r="S13" s="10">
        <v>5</v>
      </c>
      <c r="T13" s="10">
        <v>3</v>
      </c>
      <c r="U13" s="10">
        <v>5</v>
      </c>
      <c r="V13" s="10">
        <v>4.666666666666667</v>
      </c>
      <c r="W13" s="11">
        <v>1</v>
      </c>
      <c r="X13" s="11">
        <v>1</v>
      </c>
      <c r="Y13" s="11">
        <v>2</v>
      </c>
      <c r="Z13" s="11">
        <v>5</v>
      </c>
      <c r="AA13" s="11">
        <v>1</v>
      </c>
      <c r="AB13" s="11">
        <v>1</v>
      </c>
      <c r="AC13" s="11">
        <v>1.8333333333333333</v>
      </c>
      <c r="AD13" s="10"/>
      <c r="AE13" s="10"/>
      <c r="AF13" s="10"/>
      <c r="AG13" s="10"/>
      <c r="AH13" s="10"/>
      <c r="AI13" s="10"/>
      <c r="AJ13" s="10">
        <v>5</v>
      </c>
      <c r="AK13" s="10">
        <v>5</v>
      </c>
      <c r="AL13" s="10">
        <v>5</v>
      </c>
      <c r="AM13" s="10">
        <v>5</v>
      </c>
      <c r="AN13" s="10">
        <v>5</v>
      </c>
      <c r="AO13" s="10">
        <v>5</v>
      </c>
      <c r="AP13" s="10">
        <v>5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X13" s="9">
        <f t="shared" si="0"/>
        <v>1</v>
      </c>
      <c r="BY13" s="9">
        <f t="shared" si="1"/>
        <v>5</v>
      </c>
      <c r="BZ13" s="9">
        <f t="shared" si="2"/>
        <v>3</v>
      </c>
      <c r="CA13" s="9">
        <f t="shared" si="3"/>
        <v>5</v>
      </c>
      <c r="CB13" s="9">
        <f t="shared" si="4"/>
        <v>5</v>
      </c>
      <c r="CC13" s="9">
        <f t="shared" si="5"/>
        <v>5</v>
      </c>
      <c r="CD13" s="9">
        <f t="shared" si="6"/>
        <v>1</v>
      </c>
      <c r="CE13" s="21">
        <f t="shared" si="7"/>
        <v>1.8333333333333333</v>
      </c>
      <c r="CF13" s="21">
        <f t="shared" si="8"/>
        <v>5</v>
      </c>
      <c r="CG13" s="21">
        <f t="shared" si="9"/>
        <v>4.666666666666667</v>
      </c>
      <c r="CH13" s="21">
        <f t="shared" si="10"/>
        <v>5</v>
      </c>
      <c r="CI13" s="21">
        <f t="shared" si="11"/>
        <v>5</v>
      </c>
      <c r="CJ13" s="21">
        <f t="shared" si="12"/>
        <v>4.3</v>
      </c>
    </row>
    <row r="14" spans="1:88">
      <c r="A14" s="9">
        <v>13</v>
      </c>
      <c r="B14" s="9" t="s">
        <v>90</v>
      </c>
      <c r="C14" s="9" t="s">
        <v>91</v>
      </c>
      <c r="D14" s="9" t="s">
        <v>73</v>
      </c>
      <c r="E14" s="9" t="s">
        <v>74</v>
      </c>
      <c r="F14" s="9" t="s">
        <v>78</v>
      </c>
      <c r="H14" s="9" t="s">
        <v>69</v>
      </c>
      <c r="I14" s="9" t="s">
        <v>83</v>
      </c>
      <c r="J14" s="9" t="s">
        <v>65</v>
      </c>
      <c r="K14" s="9" t="s">
        <v>92</v>
      </c>
      <c r="L14" s="9" t="s">
        <v>70</v>
      </c>
      <c r="P14" s="10">
        <v>5</v>
      </c>
      <c r="Q14" s="10">
        <v>5</v>
      </c>
      <c r="R14" s="10">
        <v>5</v>
      </c>
      <c r="S14" s="10">
        <v>5</v>
      </c>
      <c r="T14" s="10">
        <v>5</v>
      </c>
      <c r="U14" s="10">
        <v>1</v>
      </c>
      <c r="V14" s="10">
        <v>4.333333333333333</v>
      </c>
      <c r="W14" s="11">
        <v>1</v>
      </c>
      <c r="X14" s="11"/>
      <c r="Y14" s="11"/>
      <c r="Z14" s="11"/>
      <c r="AA14" s="11"/>
      <c r="AB14" s="11"/>
      <c r="AC14" s="11">
        <v>0.25</v>
      </c>
      <c r="AD14" s="10"/>
      <c r="AE14" s="10"/>
      <c r="AF14" s="10"/>
      <c r="AG14" s="10"/>
      <c r="AH14" s="10"/>
      <c r="AI14" s="10"/>
      <c r="AJ14" s="10">
        <v>1</v>
      </c>
      <c r="AK14" s="10"/>
      <c r="AL14" s="10">
        <v>5</v>
      </c>
      <c r="AM14" s="10"/>
      <c r="AN14" s="10">
        <v>5</v>
      </c>
      <c r="AO14" s="10">
        <v>1</v>
      </c>
      <c r="AP14" s="10">
        <v>5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X14" s="9">
        <f t="shared" si="0"/>
        <v>1</v>
      </c>
      <c r="BY14" s="9">
        <f t="shared" si="1"/>
        <v>1</v>
      </c>
      <c r="BZ14" s="9">
        <f t="shared" si="2"/>
        <v>1</v>
      </c>
      <c r="CA14" s="9">
        <f t="shared" si="3"/>
        <v>5</v>
      </c>
      <c r="CB14" s="9">
        <f t="shared" si="4"/>
        <v>1</v>
      </c>
      <c r="CC14" s="9">
        <f t="shared" si="5"/>
        <v>5</v>
      </c>
      <c r="CD14" s="9">
        <f t="shared" si="6"/>
        <v>1</v>
      </c>
      <c r="CE14" s="21">
        <f t="shared" si="7"/>
        <v>0.25</v>
      </c>
      <c r="CF14" s="21">
        <f t="shared" si="8"/>
        <v>1</v>
      </c>
      <c r="CG14" s="21">
        <f t="shared" si="9"/>
        <v>4.333333333333333</v>
      </c>
      <c r="CH14" s="21">
        <f t="shared" si="10"/>
        <v>5</v>
      </c>
      <c r="CI14" s="21">
        <f t="shared" si="11"/>
        <v>5</v>
      </c>
      <c r="CJ14" s="21">
        <f t="shared" si="12"/>
        <v>3.1166666666666663</v>
      </c>
    </row>
    <row r="15" spans="1:88">
      <c r="A15" s="9">
        <v>14</v>
      </c>
      <c r="B15" s="9" t="s">
        <v>60</v>
      </c>
      <c r="C15" s="9" t="s">
        <v>76</v>
      </c>
      <c r="D15" s="9" t="s">
        <v>72</v>
      </c>
      <c r="E15" s="9" t="s">
        <v>63</v>
      </c>
      <c r="F15" s="9" t="s">
        <v>64</v>
      </c>
      <c r="H15" s="9" t="s">
        <v>65</v>
      </c>
      <c r="I15" s="9" t="s">
        <v>65</v>
      </c>
      <c r="K15" s="9" t="s">
        <v>322</v>
      </c>
      <c r="P15" s="10">
        <v>5</v>
      </c>
      <c r="Q15" s="10">
        <v>5</v>
      </c>
      <c r="R15" s="10">
        <v>5</v>
      </c>
      <c r="S15" s="10">
        <v>5</v>
      </c>
      <c r="T15" s="10">
        <v>5</v>
      </c>
      <c r="U15" s="10">
        <v>5</v>
      </c>
      <c r="V15" s="10">
        <v>5</v>
      </c>
      <c r="W15" s="11">
        <v>1</v>
      </c>
      <c r="X15" s="11">
        <v>5</v>
      </c>
      <c r="Y15" s="11">
        <v>5</v>
      </c>
      <c r="Z15" s="11">
        <v>5</v>
      </c>
      <c r="AA15" s="11">
        <v>5</v>
      </c>
      <c r="AB15" s="11">
        <v>5</v>
      </c>
      <c r="AC15" s="11">
        <v>4.333333333333333</v>
      </c>
      <c r="AD15" s="10"/>
      <c r="AE15" s="10"/>
      <c r="AF15" s="10"/>
      <c r="AG15" s="10"/>
      <c r="AH15" s="10"/>
      <c r="AI15" s="10"/>
      <c r="AJ15" s="10">
        <v>5</v>
      </c>
      <c r="AK15" s="10">
        <v>5</v>
      </c>
      <c r="AL15" s="10">
        <v>5</v>
      </c>
      <c r="AM15" s="10">
        <v>5</v>
      </c>
      <c r="AN15" s="10">
        <v>5</v>
      </c>
      <c r="AO15" s="10">
        <v>5</v>
      </c>
      <c r="AP15" s="10">
        <v>5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X15" s="9">
        <f t="shared" si="0"/>
        <v>1</v>
      </c>
      <c r="BY15" s="9">
        <f t="shared" si="1"/>
        <v>5</v>
      </c>
      <c r="BZ15" s="9">
        <f t="shared" si="2"/>
        <v>5</v>
      </c>
      <c r="CA15" s="9">
        <f t="shared" si="3"/>
        <v>5</v>
      </c>
      <c r="CB15" s="9">
        <f t="shared" si="4"/>
        <v>5</v>
      </c>
      <c r="CC15" s="9">
        <f t="shared" si="5"/>
        <v>5</v>
      </c>
      <c r="CD15" s="9">
        <f t="shared" si="6"/>
        <v>1</v>
      </c>
      <c r="CE15" s="21">
        <f t="shared" si="7"/>
        <v>4.333333333333333</v>
      </c>
      <c r="CF15" s="21">
        <f t="shared" si="8"/>
        <v>5</v>
      </c>
      <c r="CG15" s="21">
        <f t="shared" si="9"/>
        <v>5</v>
      </c>
      <c r="CH15" s="21">
        <f t="shared" si="10"/>
        <v>5</v>
      </c>
      <c r="CI15" s="21">
        <f t="shared" si="11"/>
        <v>5</v>
      </c>
      <c r="CJ15" s="21">
        <f t="shared" si="12"/>
        <v>4.8666666666666663</v>
      </c>
    </row>
    <row r="16" spans="1:88">
      <c r="A16" s="9">
        <v>15</v>
      </c>
      <c r="B16" s="9" t="s">
        <v>80</v>
      </c>
      <c r="C16" s="9" t="s">
        <v>81</v>
      </c>
      <c r="D16" s="9" t="s">
        <v>82</v>
      </c>
      <c r="F16" s="9" t="s">
        <v>78</v>
      </c>
      <c r="H16" s="9" t="s">
        <v>65</v>
      </c>
      <c r="I16" s="9" t="s">
        <v>83</v>
      </c>
      <c r="J16" s="9" t="s">
        <v>65</v>
      </c>
      <c r="K16" s="9" t="s">
        <v>323</v>
      </c>
      <c r="P16" s="10">
        <v>5</v>
      </c>
      <c r="Q16" s="10">
        <v>5</v>
      </c>
      <c r="R16" s="10">
        <v>1</v>
      </c>
      <c r="S16" s="10">
        <v>5</v>
      </c>
      <c r="T16" s="10">
        <v>5</v>
      </c>
      <c r="U16" s="10">
        <v>5</v>
      </c>
      <c r="V16" s="10">
        <v>4.333333333333333</v>
      </c>
      <c r="W16" s="11">
        <v>1</v>
      </c>
      <c r="X16" s="11">
        <v>1</v>
      </c>
      <c r="Y16" s="11">
        <v>1</v>
      </c>
      <c r="Z16" s="11">
        <v>3</v>
      </c>
      <c r="AA16" s="11">
        <v>5</v>
      </c>
      <c r="AB16" s="11">
        <v>5</v>
      </c>
      <c r="AC16" s="11">
        <v>2.6666666666666665</v>
      </c>
      <c r="AD16" s="10"/>
      <c r="AE16" s="10"/>
      <c r="AF16" s="10"/>
      <c r="AG16" s="10"/>
      <c r="AH16" s="10"/>
      <c r="AI16" s="10"/>
      <c r="AJ16" s="10">
        <v>5</v>
      </c>
      <c r="AK16" s="10">
        <v>5</v>
      </c>
      <c r="AL16" s="10">
        <v>5</v>
      </c>
      <c r="AM16" s="10">
        <v>5</v>
      </c>
      <c r="AN16" s="10">
        <v>5</v>
      </c>
      <c r="AO16" s="10">
        <v>5</v>
      </c>
      <c r="AP16" s="10">
        <v>5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X16" s="9">
        <f t="shared" si="0"/>
        <v>1</v>
      </c>
      <c r="BY16" s="9">
        <f t="shared" si="1"/>
        <v>5</v>
      </c>
      <c r="BZ16" s="9">
        <f t="shared" si="2"/>
        <v>1</v>
      </c>
      <c r="CA16" s="9">
        <f t="shared" si="3"/>
        <v>5</v>
      </c>
      <c r="CB16" s="9">
        <f t="shared" si="4"/>
        <v>5</v>
      </c>
      <c r="CC16" s="9">
        <f t="shared" si="5"/>
        <v>5</v>
      </c>
      <c r="CD16" s="9">
        <f t="shared" si="6"/>
        <v>1</v>
      </c>
      <c r="CE16" s="21">
        <f t="shared" si="7"/>
        <v>2.6666666666666665</v>
      </c>
      <c r="CF16" s="21">
        <f t="shared" si="8"/>
        <v>5</v>
      </c>
      <c r="CG16" s="21">
        <f t="shared" si="9"/>
        <v>4.333333333333333</v>
      </c>
      <c r="CH16" s="21">
        <f t="shared" si="10"/>
        <v>5</v>
      </c>
      <c r="CI16" s="21">
        <f t="shared" si="11"/>
        <v>5</v>
      </c>
      <c r="CJ16" s="21">
        <f t="shared" si="12"/>
        <v>4.4000000000000004</v>
      </c>
    </row>
    <row r="17" spans="1:88">
      <c r="A17" s="9">
        <v>16</v>
      </c>
      <c r="B17" s="9" t="s">
        <v>93</v>
      </c>
      <c r="C17" s="9" t="s">
        <v>94</v>
      </c>
      <c r="D17" s="9" t="s">
        <v>72</v>
      </c>
      <c r="E17" s="9" t="s">
        <v>63</v>
      </c>
      <c r="F17" s="9" t="s">
        <v>78</v>
      </c>
      <c r="H17" s="9" t="s">
        <v>69</v>
      </c>
      <c r="I17" s="9" t="s">
        <v>69</v>
      </c>
      <c r="J17" s="9" t="s">
        <v>69</v>
      </c>
      <c r="K17" s="9" t="s">
        <v>323</v>
      </c>
      <c r="N17" s="9" t="s">
        <v>70</v>
      </c>
      <c r="P17" s="10">
        <v>3</v>
      </c>
      <c r="Q17" s="10">
        <v>5</v>
      </c>
      <c r="R17" s="10">
        <v>1</v>
      </c>
      <c r="S17" s="10">
        <v>5</v>
      </c>
      <c r="T17" s="10">
        <v>5</v>
      </c>
      <c r="U17" s="10">
        <v>5</v>
      </c>
      <c r="V17" s="10">
        <v>4</v>
      </c>
      <c r="W17" s="11">
        <v>3</v>
      </c>
      <c r="X17" s="11">
        <v>5</v>
      </c>
      <c r="Y17" s="11">
        <v>5</v>
      </c>
      <c r="Z17" s="11">
        <v>5</v>
      </c>
      <c r="AA17" s="11">
        <v>5</v>
      </c>
      <c r="AB17" s="11">
        <v>5</v>
      </c>
      <c r="AC17" s="11">
        <v>4.666666666666667</v>
      </c>
      <c r="AD17" s="10"/>
      <c r="AE17" s="10"/>
      <c r="AF17" s="10"/>
      <c r="AG17" s="10"/>
      <c r="AH17" s="10"/>
      <c r="AI17" s="10"/>
      <c r="AJ17" s="10">
        <v>5</v>
      </c>
      <c r="AK17" s="10">
        <v>5</v>
      </c>
      <c r="AL17" s="10">
        <v>5</v>
      </c>
      <c r="AM17" s="10">
        <v>5</v>
      </c>
      <c r="AN17" s="10">
        <v>5</v>
      </c>
      <c r="AO17" s="10">
        <v>5</v>
      </c>
      <c r="AP17" s="10">
        <v>5</v>
      </c>
      <c r="AQ17" s="12">
        <v>1</v>
      </c>
      <c r="AR17" s="12">
        <v>1</v>
      </c>
      <c r="AS17" s="12">
        <v>2</v>
      </c>
      <c r="AT17" s="12">
        <v>1</v>
      </c>
      <c r="AU17" s="12">
        <v>1.5</v>
      </c>
      <c r="AV17" s="12">
        <v>1.3</v>
      </c>
      <c r="AW17" s="12">
        <v>1</v>
      </c>
      <c r="AX17" s="12">
        <v>1</v>
      </c>
      <c r="AY17" s="12">
        <v>1</v>
      </c>
      <c r="AZ17" s="12">
        <v>2</v>
      </c>
      <c r="BA17" s="12">
        <v>1</v>
      </c>
      <c r="BB17" s="13">
        <v>533</v>
      </c>
      <c r="BC17" s="13">
        <v>87</v>
      </c>
      <c r="BD17" s="13">
        <v>337</v>
      </c>
      <c r="BE17" s="13">
        <v>0.63</v>
      </c>
      <c r="BF17" s="13" t="s">
        <v>217</v>
      </c>
      <c r="BG17" s="13" t="s">
        <v>324</v>
      </c>
      <c r="BI17" s="13" t="s">
        <v>325</v>
      </c>
      <c r="BX17" s="9">
        <f t="shared" si="0"/>
        <v>3</v>
      </c>
      <c r="BY17" s="9">
        <f t="shared" si="1"/>
        <v>5</v>
      </c>
      <c r="BZ17" s="9">
        <f t="shared" si="2"/>
        <v>1</v>
      </c>
      <c r="CA17" s="9">
        <f t="shared" si="3"/>
        <v>5</v>
      </c>
      <c r="CB17" s="9">
        <f t="shared" si="4"/>
        <v>5</v>
      </c>
      <c r="CC17" s="9">
        <f t="shared" si="5"/>
        <v>5</v>
      </c>
      <c r="CD17" s="9">
        <f t="shared" si="6"/>
        <v>1</v>
      </c>
      <c r="CE17" s="21">
        <f t="shared" si="7"/>
        <v>4.666666666666667</v>
      </c>
      <c r="CF17" s="21">
        <f t="shared" si="8"/>
        <v>5</v>
      </c>
      <c r="CG17" s="21">
        <f t="shared" si="9"/>
        <v>4</v>
      </c>
      <c r="CH17" s="21">
        <f t="shared" si="10"/>
        <v>5</v>
      </c>
      <c r="CI17" s="21">
        <f t="shared" si="11"/>
        <v>5</v>
      </c>
      <c r="CJ17" s="21">
        <f t="shared" si="12"/>
        <v>4.7333333333333334</v>
      </c>
    </row>
    <row r="18" spans="1:88">
      <c r="A18" s="9">
        <v>17</v>
      </c>
      <c r="B18" s="9" t="s">
        <v>95</v>
      </c>
      <c r="D18" s="9" t="s">
        <v>96</v>
      </c>
      <c r="E18" s="9" t="s">
        <v>78</v>
      </c>
      <c r="F18" s="9" t="s">
        <v>78</v>
      </c>
      <c r="G18" s="9">
        <v>2012</v>
      </c>
      <c r="H18" s="9" t="s">
        <v>65</v>
      </c>
      <c r="I18" s="9" t="s">
        <v>65</v>
      </c>
      <c r="K18" s="9" t="s">
        <v>322</v>
      </c>
      <c r="N18" s="9" t="s">
        <v>70</v>
      </c>
      <c r="P18" s="10">
        <v>5</v>
      </c>
      <c r="Q18" s="10">
        <v>1</v>
      </c>
      <c r="R18" s="10">
        <v>5</v>
      </c>
      <c r="S18" s="10">
        <v>5</v>
      </c>
      <c r="T18" s="10">
        <v>5</v>
      </c>
      <c r="U18" s="10">
        <v>5</v>
      </c>
      <c r="V18" s="10">
        <v>4.333333333333333</v>
      </c>
      <c r="W18" s="11">
        <v>1</v>
      </c>
      <c r="X18" s="11">
        <v>1</v>
      </c>
      <c r="Y18" s="11">
        <v>5</v>
      </c>
      <c r="Z18" s="11">
        <v>5</v>
      </c>
      <c r="AA18" s="11">
        <v>3</v>
      </c>
      <c r="AB18" s="11">
        <v>5</v>
      </c>
      <c r="AC18" s="11">
        <v>3.3333333333333335</v>
      </c>
      <c r="AD18" s="10"/>
      <c r="AE18" s="10"/>
      <c r="AF18" s="10"/>
      <c r="AG18" s="10"/>
      <c r="AH18" s="10"/>
      <c r="AI18" s="10"/>
      <c r="AJ18" s="10"/>
      <c r="AK18" s="10">
        <v>5</v>
      </c>
      <c r="AL18" s="10">
        <v>5</v>
      </c>
      <c r="AM18" s="10">
        <v>5</v>
      </c>
      <c r="AN18" s="10">
        <v>5</v>
      </c>
      <c r="AO18" s="10">
        <v>5</v>
      </c>
      <c r="AP18" s="10">
        <v>5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X18" s="9">
        <f t="shared" si="0"/>
        <v>1</v>
      </c>
      <c r="BY18" s="9">
        <f>_xlfn.MINIFS(AD18:AJ18, AD18:AJ18, "&gt;0")</f>
        <v>0</v>
      </c>
      <c r="BZ18" s="9">
        <f t="shared" si="2"/>
        <v>1</v>
      </c>
      <c r="CA18" s="9">
        <f t="shared" si="3"/>
        <v>5</v>
      </c>
      <c r="CB18" s="9">
        <f t="shared" si="4"/>
        <v>5</v>
      </c>
      <c r="CC18" s="9">
        <f t="shared" si="5"/>
        <v>5</v>
      </c>
      <c r="CD18" s="9">
        <f t="shared" si="6"/>
        <v>0</v>
      </c>
      <c r="CE18" s="21">
        <f t="shared" si="7"/>
        <v>3.3333333333333335</v>
      </c>
      <c r="CF18" s="21">
        <f t="shared" si="8"/>
        <v>0</v>
      </c>
      <c r="CG18" s="21">
        <f t="shared" si="9"/>
        <v>4.333333333333333</v>
      </c>
      <c r="CH18" s="21">
        <f t="shared" si="10"/>
        <v>5</v>
      </c>
      <c r="CI18" s="21">
        <f t="shared" si="11"/>
        <v>5</v>
      </c>
      <c r="CJ18" s="21">
        <f t="shared" si="12"/>
        <v>3.5333333333333328</v>
      </c>
    </row>
    <row r="19" spans="1:88">
      <c r="A19" s="9">
        <v>18</v>
      </c>
      <c r="B19" s="9" t="s">
        <v>93</v>
      </c>
      <c r="C19" s="9" t="s">
        <v>94</v>
      </c>
      <c r="D19" s="9" t="s">
        <v>97</v>
      </c>
      <c r="E19" s="9" t="s">
        <v>78</v>
      </c>
      <c r="F19" s="9" t="s">
        <v>78</v>
      </c>
      <c r="H19" s="9" t="s">
        <v>69</v>
      </c>
      <c r="I19" s="9" t="s">
        <v>69</v>
      </c>
      <c r="J19" s="9" t="s">
        <v>69</v>
      </c>
      <c r="K19" s="9" t="s">
        <v>323</v>
      </c>
      <c r="N19" s="9" t="s">
        <v>70</v>
      </c>
      <c r="P19" s="10">
        <v>1</v>
      </c>
      <c r="Q19" s="10">
        <v>1</v>
      </c>
      <c r="R19" s="10">
        <v>1</v>
      </c>
      <c r="S19" s="10">
        <v>4.5</v>
      </c>
      <c r="T19" s="10">
        <v>5</v>
      </c>
      <c r="U19" s="10">
        <v>1</v>
      </c>
      <c r="V19" s="10">
        <v>2.25</v>
      </c>
      <c r="W19" s="11">
        <v>1</v>
      </c>
      <c r="X19" s="11">
        <v>1</v>
      </c>
      <c r="Y19" s="11">
        <v>1</v>
      </c>
      <c r="Z19" s="11">
        <v>4</v>
      </c>
      <c r="AA19" s="11">
        <v>5</v>
      </c>
      <c r="AB19" s="11">
        <v>2</v>
      </c>
      <c r="AC19" s="11">
        <v>2.3333333333333335</v>
      </c>
      <c r="AD19" s="10"/>
      <c r="AE19" s="10"/>
      <c r="AF19" s="10"/>
      <c r="AG19" s="10"/>
      <c r="AH19" s="10"/>
      <c r="AI19" s="10"/>
      <c r="AJ19" s="10">
        <v>1</v>
      </c>
      <c r="AK19" s="10">
        <v>5</v>
      </c>
      <c r="AL19" s="10">
        <v>1</v>
      </c>
      <c r="AM19" s="10">
        <v>5</v>
      </c>
      <c r="AN19" s="10">
        <v>3.6666666666666665</v>
      </c>
      <c r="AO19" s="10">
        <v>5</v>
      </c>
      <c r="AP19" s="10">
        <v>5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X19" s="9">
        <f t="shared" si="0"/>
        <v>1</v>
      </c>
      <c r="BY19" s="9">
        <f t="shared" si="1"/>
        <v>1</v>
      </c>
      <c r="BZ19" s="9">
        <f t="shared" si="2"/>
        <v>1</v>
      </c>
      <c r="CA19" s="9">
        <f t="shared" si="3"/>
        <v>1</v>
      </c>
      <c r="CB19" s="9">
        <f t="shared" si="4"/>
        <v>5</v>
      </c>
      <c r="CC19" s="9">
        <f t="shared" si="5"/>
        <v>5</v>
      </c>
      <c r="CD19" s="9">
        <f t="shared" si="6"/>
        <v>1</v>
      </c>
      <c r="CE19" s="21">
        <f t="shared" si="7"/>
        <v>2.3333333333333335</v>
      </c>
      <c r="CF19" s="21">
        <f t="shared" si="8"/>
        <v>1</v>
      </c>
      <c r="CG19" s="21">
        <f t="shared" si="9"/>
        <v>2.25</v>
      </c>
      <c r="CH19" s="21">
        <f t="shared" si="10"/>
        <v>3.6666666666666665</v>
      </c>
      <c r="CI19" s="21">
        <f t="shared" si="11"/>
        <v>5</v>
      </c>
      <c r="CJ19" s="21">
        <f t="shared" si="12"/>
        <v>2.85</v>
      </c>
    </row>
    <row r="20" spans="1:88">
      <c r="A20" s="9">
        <v>19</v>
      </c>
      <c r="B20" s="9" t="s">
        <v>60</v>
      </c>
      <c r="C20" s="9" t="s">
        <v>98</v>
      </c>
      <c r="D20" s="9" t="s">
        <v>72</v>
      </c>
      <c r="E20" s="9" t="s">
        <v>74</v>
      </c>
      <c r="F20" s="9" t="s">
        <v>78</v>
      </c>
      <c r="H20" s="9" t="s">
        <v>69</v>
      </c>
      <c r="I20" s="9" t="s">
        <v>87</v>
      </c>
      <c r="K20" s="9" t="s">
        <v>322</v>
      </c>
      <c r="N20" s="9" t="s">
        <v>70</v>
      </c>
      <c r="P20" s="10">
        <v>3.5</v>
      </c>
      <c r="Q20" s="10">
        <v>5</v>
      </c>
      <c r="R20" s="10">
        <v>5</v>
      </c>
      <c r="S20" s="10">
        <v>5</v>
      </c>
      <c r="T20" s="10">
        <v>5</v>
      </c>
      <c r="U20" s="10">
        <v>5</v>
      </c>
      <c r="V20" s="10">
        <v>4.75</v>
      </c>
      <c r="W20" s="11">
        <v>5</v>
      </c>
      <c r="X20" s="11">
        <v>5</v>
      </c>
      <c r="Y20" s="11">
        <v>5</v>
      </c>
      <c r="Z20" s="11">
        <v>5</v>
      </c>
      <c r="AA20" s="11">
        <v>5</v>
      </c>
      <c r="AB20" s="11">
        <v>5</v>
      </c>
      <c r="AC20" s="11">
        <v>5</v>
      </c>
      <c r="AD20" s="10"/>
      <c r="AE20" s="10"/>
      <c r="AF20" s="10"/>
      <c r="AG20" s="10"/>
      <c r="AH20" s="10"/>
      <c r="AI20" s="10"/>
      <c r="AJ20" s="10">
        <v>5</v>
      </c>
      <c r="AK20" s="10">
        <v>5</v>
      </c>
      <c r="AL20" s="10">
        <v>5</v>
      </c>
      <c r="AM20" s="10">
        <v>5</v>
      </c>
      <c r="AN20" s="10">
        <v>5</v>
      </c>
      <c r="AO20" s="10">
        <v>5</v>
      </c>
      <c r="AP20" s="10">
        <v>5</v>
      </c>
      <c r="AQ20" s="12">
        <v>1</v>
      </c>
      <c r="AR20" s="12">
        <v>3</v>
      </c>
      <c r="AS20" s="12">
        <v>3</v>
      </c>
      <c r="AT20" s="12">
        <v>3</v>
      </c>
      <c r="AU20" s="12">
        <v>3</v>
      </c>
      <c r="AV20" s="12">
        <v>2.6</v>
      </c>
      <c r="AW20" s="12">
        <v>3</v>
      </c>
      <c r="AX20" s="12">
        <v>3</v>
      </c>
      <c r="AY20" s="12">
        <v>2</v>
      </c>
      <c r="AZ20" s="12">
        <v>3</v>
      </c>
      <c r="BA20" s="12">
        <v>3</v>
      </c>
      <c r="BB20" s="13">
        <v>343</v>
      </c>
      <c r="BC20" s="13">
        <v>568</v>
      </c>
      <c r="BD20" s="13">
        <v>225</v>
      </c>
      <c r="BE20" s="13">
        <v>0.66</v>
      </c>
      <c r="BF20" s="13" t="s">
        <v>209</v>
      </c>
      <c r="BG20" s="13" t="s">
        <v>326</v>
      </c>
      <c r="BH20" s="13" t="s">
        <v>327</v>
      </c>
      <c r="BI20" s="13" t="s">
        <v>328</v>
      </c>
      <c r="BX20" s="9">
        <f t="shared" si="0"/>
        <v>5</v>
      </c>
      <c r="BY20" s="9">
        <f t="shared" si="1"/>
        <v>5</v>
      </c>
      <c r="BZ20" s="9">
        <f t="shared" si="2"/>
        <v>3.5</v>
      </c>
      <c r="CA20" s="9">
        <f t="shared" si="3"/>
        <v>5</v>
      </c>
      <c r="CB20" s="9">
        <f t="shared" si="4"/>
        <v>5</v>
      </c>
      <c r="CC20" s="9">
        <f t="shared" si="5"/>
        <v>5</v>
      </c>
      <c r="CD20" s="9">
        <f t="shared" si="6"/>
        <v>3.5</v>
      </c>
      <c r="CE20" s="21">
        <f t="shared" si="7"/>
        <v>5</v>
      </c>
      <c r="CF20" s="21">
        <f t="shared" si="8"/>
        <v>5</v>
      </c>
      <c r="CG20" s="21">
        <f t="shared" si="9"/>
        <v>4.75</v>
      </c>
      <c r="CH20" s="21">
        <f t="shared" si="10"/>
        <v>5</v>
      </c>
      <c r="CI20" s="21">
        <f t="shared" si="11"/>
        <v>5</v>
      </c>
      <c r="CJ20" s="21">
        <f t="shared" si="12"/>
        <v>4.95</v>
      </c>
    </row>
    <row r="21" spans="1:88">
      <c r="A21" s="9">
        <v>20</v>
      </c>
      <c r="B21" s="9" t="s">
        <v>60</v>
      </c>
      <c r="C21" s="9" t="s">
        <v>66</v>
      </c>
      <c r="D21" s="9" t="s">
        <v>72</v>
      </c>
      <c r="E21" s="9" t="s">
        <v>63</v>
      </c>
      <c r="F21" s="9" t="s">
        <v>78</v>
      </c>
      <c r="H21" s="9" t="s">
        <v>65</v>
      </c>
      <c r="I21" s="9" t="s">
        <v>65</v>
      </c>
      <c r="K21" s="9" t="s">
        <v>322</v>
      </c>
      <c r="N21" s="9" t="s">
        <v>70</v>
      </c>
      <c r="P21" s="10">
        <v>1</v>
      </c>
      <c r="Q21" s="10">
        <v>5</v>
      </c>
      <c r="R21" s="10">
        <v>5</v>
      </c>
      <c r="S21" s="10">
        <v>5</v>
      </c>
      <c r="T21" s="10">
        <v>5</v>
      </c>
      <c r="U21" s="10">
        <v>5</v>
      </c>
      <c r="V21" s="10">
        <v>4.333333333333333</v>
      </c>
      <c r="W21" s="11">
        <v>1</v>
      </c>
      <c r="X21" s="11">
        <v>5</v>
      </c>
      <c r="Y21" s="11">
        <v>5</v>
      </c>
      <c r="Z21" s="11">
        <v>5</v>
      </c>
      <c r="AA21" s="11">
        <v>5</v>
      </c>
      <c r="AB21" s="11">
        <v>5</v>
      </c>
      <c r="AC21" s="11">
        <v>4.333333333333333</v>
      </c>
      <c r="AD21" s="10"/>
      <c r="AE21" s="10"/>
      <c r="AF21" s="10"/>
      <c r="AG21" s="10"/>
      <c r="AH21" s="10"/>
      <c r="AI21" s="10"/>
      <c r="AJ21" s="10">
        <v>5</v>
      </c>
      <c r="AK21" s="10">
        <v>5</v>
      </c>
      <c r="AL21" s="10">
        <v>5</v>
      </c>
      <c r="AM21" s="10">
        <v>5</v>
      </c>
      <c r="AN21" s="10">
        <v>5</v>
      </c>
      <c r="AO21" s="10">
        <v>5</v>
      </c>
      <c r="AP21" s="10">
        <v>5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X21" s="9">
        <f t="shared" si="0"/>
        <v>1</v>
      </c>
      <c r="BY21" s="9">
        <f t="shared" si="1"/>
        <v>5</v>
      </c>
      <c r="BZ21" s="9">
        <f t="shared" si="2"/>
        <v>1</v>
      </c>
      <c r="CA21" s="9">
        <f t="shared" si="3"/>
        <v>5</v>
      </c>
      <c r="CB21" s="9">
        <f t="shared" si="4"/>
        <v>5</v>
      </c>
      <c r="CC21" s="9">
        <f t="shared" si="5"/>
        <v>5</v>
      </c>
      <c r="CD21" s="9">
        <f t="shared" si="6"/>
        <v>1</v>
      </c>
      <c r="CE21" s="21">
        <f t="shared" si="7"/>
        <v>4.333333333333333</v>
      </c>
      <c r="CF21" s="21">
        <f t="shared" si="8"/>
        <v>5</v>
      </c>
      <c r="CG21" s="21">
        <f t="shared" si="9"/>
        <v>4.333333333333333</v>
      </c>
      <c r="CH21" s="21">
        <f t="shared" si="10"/>
        <v>5</v>
      </c>
      <c r="CI21" s="21">
        <f t="shared" si="11"/>
        <v>5</v>
      </c>
      <c r="CJ21" s="21">
        <f t="shared" si="12"/>
        <v>4.7333333333333325</v>
      </c>
    </row>
    <row r="22" spans="1:88">
      <c r="A22" s="9">
        <v>21</v>
      </c>
      <c r="B22" s="9" t="s">
        <v>99</v>
      </c>
      <c r="C22" s="9" t="s">
        <v>100</v>
      </c>
      <c r="D22" s="9" t="s">
        <v>86</v>
      </c>
      <c r="E22" s="9" t="s">
        <v>78</v>
      </c>
      <c r="F22" s="9" t="s">
        <v>78</v>
      </c>
      <c r="H22" s="9" t="s">
        <v>65</v>
      </c>
      <c r="I22" s="9" t="s">
        <v>83</v>
      </c>
      <c r="J22" s="9" t="s">
        <v>69</v>
      </c>
      <c r="K22" s="9" t="s">
        <v>92</v>
      </c>
      <c r="L22" s="9" t="s">
        <v>70</v>
      </c>
      <c r="N22" s="9" t="s">
        <v>70</v>
      </c>
      <c r="P22" s="10">
        <v>5</v>
      </c>
      <c r="Q22" s="10">
        <v>5</v>
      </c>
      <c r="R22" s="10">
        <v>5</v>
      </c>
      <c r="S22" s="10">
        <v>5</v>
      </c>
      <c r="T22" s="10">
        <v>5</v>
      </c>
      <c r="U22" s="10">
        <v>5</v>
      </c>
      <c r="V22" s="10">
        <v>5</v>
      </c>
      <c r="W22" s="11">
        <v>5</v>
      </c>
      <c r="X22" s="11">
        <v>5</v>
      </c>
      <c r="Y22" s="11">
        <v>5</v>
      </c>
      <c r="Z22" s="11">
        <v>5</v>
      </c>
      <c r="AA22" s="11">
        <v>5</v>
      </c>
      <c r="AB22" s="11">
        <v>5</v>
      </c>
      <c r="AC22" s="11">
        <v>5</v>
      </c>
      <c r="AD22" s="10"/>
      <c r="AE22" s="10"/>
      <c r="AF22" s="10"/>
      <c r="AG22" s="10"/>
      <c r="AH22" s="10"/>
      <c r="AI22" s="10"/>
      <c r="AJ22" s="10">
        <v>5</v>
      </c>
      <c r="AK22" s="10">
        <v>5</v>
      </c>
      <c r="AL22" s="10">
        <v>5</v>
      </c>
      <c r="AM22" s="10">
        <v>5</v>
      </c>
      <c r="AN22" s="10">
        <v>5</v>
      </c>
      <c r="AO22" s="10">
        <v>5</v>
      </c>
      <c r="AP22" s="10">
        <v>5</v>
      </c>
      <c r="AQ22" s="12">
        <v>1</v>
      </c>
      <c r="AR22" s="12">
        <v>3</v>
      </c>
      <c r="AS22" s="12">
        <v>2</v>
      </c>
      <c r="AT22" s="12">
        <v>3</v>
      </c>
      <c r="AU22" s="12">
        <v>3</v>
      </c>
      <c r="AV22" s="12">
        <v>2.4</v>
      </c>
      <c r="AW22" s="12">
        <v>2</v>
      </c>
      <c r="AX22" s="12">
        <v>2</v>
      </c>
      <c r="AY22" s="12">
        <v>2</v>
      </c>
      <c r="AZ22" s="12">
        <v>3</v>
      </c>
      <c r="BA22" s="12">
        <v>2</v>
      </c>
      <c r="BB22" s="13">
        <v>492</v>
      </c>
      <c r="BC22" s="13">
        <v>721</v>
      </c>
      <c r="BD22" s="13">
        <v>229</v>
      </c>
      <c r="BE22" s="13">
        <v>0.47</v>
      </c>
      <c r="BF22" s="13" t="s">
        <v>209</v>
      </c>
      <c r="BG22" s="13" t="s">
        <v>326</v>
      </c>
      <c r="BI22" s="13" t="s">
        <v>325</v>
      </c>
      <c r="BX22" s="9">
        <f t="shared" si="0"/>
        <v>5</v>
      </c>
      <c r="BY22" s="9">
        <f t="shared" si="1"/>
        <v>5</v>
      </c>
      <c r="BZ22" s="9">
        <f t="shared" si="2"/>
        <v>5</v>
      </c>
      <c r="CA22" s="9">
        <f t="shared" si="3"/>
        <v>5</v>
      </c>
      <c r="CB22" s="9">
        <f t="shared" si="4"/>
        <v>5</v>
      </c>
      <c r="CC22" s="9">
        <f t="shared" si="5"/>
        <v>5</v>
      </c>
      <c r="CD22" s="9">
        <f t="shared" si="6"/>
        <v>5</v>
      </c>
      <c r="CE22" s="21">
        <f t="shared" si="7"/>
        <v>5</v>
      </c>
      <c r="CF22" s="21">
        <f t="shared" si="8"/>
        <v>5</v>
      </c>
      <c r="CG22" s="21">
        <f t="shared" si="9"/>
        <v>5</v>
      </c>
      <c r="CH22" s="21">
        <f t="shared" si="10"/>
        <v>5</v>
      </c>
      <c r="CI22" s="21">
        <f t="shared" si="11"/>
        <v>5</v>
      </c>
      <c r="CJ22" s="21">
        <f t="shared" si="12"/>
        <v>5</v>
      </c>
    </row>
    <row r="23" spans="1:88">
      <c r="A23" s="9">
        <v>22</v>
      </c>
      <c r="B23" s="9" t="s">
        <v>101</v>
      </c>
      <c r="C23" s="9" t="s">
        <v>102</v>
      </c>
      <c r="D23" s="9" t="s">
        <v>72</v>
      </c>
      <c r="E23" s="9" t="s">
        <v>78</v>
      </c>
      <c r="F23" s="9" t="s">
        <v>78</v>
      </c>
      <c r="H23" s="9" t="s">
        <v>65</v>
      </c>
      <c r="I23" s="9" t="s">
        <v>83</v>
      </c>
      <c r="J23" s="9" t="s">
        <v>69</v>
      </c>
      <c r="K23" s="9" t="s">
        <v>92</v>
      </c>
      <c r="L23" s="9" t="s">
        <v>70</v>
      </c>
      <c r="N23" s="9" t="s">
        <v>70</v>
      </c>
      <c r="P23" s="10">
        <v>5</v>
      </c>
      <c r="Q23" s="10">
        <v>5</v>
      </c>
      <c r="R23" s="10">
        <v>5</v>
      </c>
      <c r="S23" s="10">
        <v>4</v>
      </c>
      <c r="T23" s="10">
        <v>5</v>
      </c>
      <c r="U23" s="10">
        <v>1</v>
      </c>
      <c r="V23" s="10">
        <v>4.166666666666667</v>
      </c>
      <c r="W23" s="11">
        <v>3</v>
      </c>
      <c r="X23" s="11">
        <v>1</v>
      </c>
      <c r="Y23" s="11">
        <v>1</v>
      </c>
      <c r="Z23" s="11">
        <v>1</v>
      </c>
      <c r="AA23" s="11">
        <v>1</v>
      </c>
      <c r="AB23" s="11">
        <v>1</v>
      </c>
      <c r="AC23" s="11">
        <v>1.3333333333333333</v>
      </c>
      <c r="AD23" s="10"/>
      <c r="AE23" s="10"/>
      <c r="AF23" s="10"/>
      <c r="AG23" s="10"/>
      <c r="AH23" s="10"/>
      <c r="AI23" s="10"/>
      <c r="AJ23" s="10">
        <v>1</v>
      </c>
      <c r="AK23" s="10">
        <v>5</v>
      </c>
      <c r="AL23" s="10">
        <v>5</v>
      </c>
      <c r="AM23" s="10">
        <v>5</v>
      </c>
      <c r="AN23" s="10">
        <v>5</v>
      </c>
      <c r="AO23" s="10">
        <v>5</v>
      </c>
      <c r="AP23" s="10">
        <v>5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X23" s="9">
        <f t="shared" si="0"/>
        <v>1</v>
      </c>
      <c r="BY23" s="9">
        <f t="shared" si="1"/>
        <v>1</v>
      </c>
      <c r="BZ23" s="9">
        <f t="shared" si="2"/>
        <v>1</v>
      </c>
      <c r="CA23" s="9">
        <f t="shared" si="3"/>
        <v>5</v>
      </c>
      <c r="CB23" s="9">
        <f t="shared" si="4"/>
        <v>5</v>
      </c>
      <c r="CC23" s="9">
        <f t="shared" si="5"/>
        <v>5</v>
      </c>
      <c r="CD23" s="9">
        <f t="shared" si="6"/>
        <v>1</v>
      </c>
      <c r="CE23" s="21">
        <f t="shared" si="7"/>
        <v>1.3333333333333333</v>
      </c>
      <c r="CF23" s="21">
        <f t="shared" si="8"/>
        <v>1</v>
      </c>
      <c r="CG23" s="21">
        <f t="shared" si="9"/>
        <v>4.166666666666667</v>
      </c>
      <c r="CH23" s="21">
        <f t="shared" si="10"/>
        <v>5</v>
      </c>
      <c r="CI23" s="21">
        <f t="shared" si="11"/>
        <v>5</v>
      </c>
      <c r="CJ23" s="21">
        <f t="shared" si="12"/>
        <v>3.3</v>
      </c>
    </row>
    <row r="24" spans="1:88">
      <c r="A24" s="9">
        <v>23</v>
      </c>
      <c r="B24" s="9" t="s">
        <v>60</v>
      </c>
      <c r="C24" s="9" t="s">
        <v>103</v>
      </c>
      <c r="D24" s="9" t="s">
        <v>104</v>
      </c>
      <c r="E24" s="9" t="s">
        <v>63</v>
      </c>
      <c r="F24" s="9" t="s">
        <v>78</v>
      </c>
      <c r="H24" s="9" t="s">
        <v>65</v>
      </c>
      <c r="I24" s="9" t="s">
        <v>65</v>
      </c>
      <c r="J24" s="9" t="s">
        <v>65</v>
      </c>
      <c r="K24" s="9" t="s">
        <v>92</v>
      </c>
      <c r="L24" s="9" t="s">
        <v>70</v>
      </c>
      <c r="N24" s="9" t="s">
        <v>70</v>
      </c>
      <c r="P24" s="10">
        <v>5</v>
      </c>
      <c r="Q24" s="10">
        <v>5</v>
      </c>
      <c r="R24" s="10">
        <v>5</v>
      </c>
      <c r="S24" s="10">
        <v>5</v>
      </c>
      <c r="T24" s="10">
        <v>5</v>
      </c>
      <c r="U24" s="10">
        <v>5</v>
      </c>
      <c r="V24" s="10">
        <v>5</v>
      </c>
      <c r="W24" s="11">
        <v>3</v>
      </c>
      <c r="X24" s="11">
        <v>1</v>
      </c>
      <c r="Y24" s="11">
        <v>1</v>
      </c>
      <c r="Z24" s="11">
        <v>1</v>
      </c>
      <c r="AA24" s="11">
        <v>1</v>
      </c>
      <c r="AB24" s="11">
        <v>1</v>
      </c>
      <c r="AC24" s="11">
        <v>1.3333333333333333</v>
      </c>
      <c r="AD24" s="10"/>
      <c r="AE24" s="10"/>
      <c r="AF24" s="10"/>
      <c r="AG24" s="10"/>
      <c r="AH24" s="10"/>
      <c r="AI24" s="10"/>
      <c r="AJ24" s="10">
        <v>1</v>
      </c>
      <c r="AK24" s="10">
        <v>5</v>
      </c>
      <c r="AL24" s="10">
        <v>5</v>
      </c>
      <c r="AM24" s="10">
        <v>5</v>
      </c>
      <c r="AN24" s="10">
        <v>5</v>
      </c>
      <c r="AO24" s="10">
        <v>5</v>
      </c>
      <c r="AP24" s="10">
        <v>5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X24" s="9">
        <f t="shared" ref="BX24:BX65" si="13">_xlfn.MINIFS(W24:AB24, W24:AB24, "&gt;0")</f>
        <v>1</v>
      </c>
      <c r="BY24" s="9">
        <f t="shared" ref="BY24:BY65" si="14">_xlfn.MINIFS(AD24:AJ24, AD24:AJ24, "&gt;0")</f>
        <v>1</v>
      </c>
      <c r="BZ24" s="9">
        <f t="shared" ref="BZ24:BZ66" si="15">_xlfn.MINIFS(P24:U24, P24:U24, "&gt;0")</f>
        <v>5</v>
      </c>
      <c r="CA24" s="9">
        <f t="shared" ref="CA24:CA66" si="16">_xlfn.MINIFS(AK24:AM24, AK24:AM24, "&gt;0")</f>
        <v>5</v>
      </c>
      <c r="CB24" s="9">
        <f t="shared" ref="CB24:CB66" si="17">_xlfn.MINIFS(AO24, AO24, "&gt;0")</f>
        <v>5</v>
      </c>
      <c r="CC24" s="9">
        <f t="shared" ref="CC24:CC66" si="18">_xlfn.MINIFS(AP24, AP24, "&gt;0")</f>
        <v>5</v>
      </c>
      <c r="CD24" s="9">
        <f t="shared" si="6"/>
        <v>1</v>
      </c>
      <c r="CE24" s="21">
        <f t="shared" si="7"/>
        <v>1.3333333333333333</v>
      </c>
      <c r="CF24" s="21">
        <f t="shared" si="8"/>
        <v>1</v>
      </c>
      <c r="CG24" s="21">
        <f t="shared" si="9"/>
        <v>5</v>
      </c>
      <c r="CH24" s="21">
        <f t="shared" si="10"/>
        <v>5</v>
      </c>
      <c r="CI24" s="21">
        <f t="shared" si="11"/>
        <v>5</v>
      </c>
      <c r="CJ24" s="21">
        <f t="shared" si="12"/>
        <v>3.4666666666666663</v>
      </c>
    </row>
    <row r="25" spans="1:88">
      <c r="A25" s="9">
        <v>24</v>
      </c>
      <c r="B25" s="9" t="s">
        <v>101</v>
      </c>
      <c r="D25" s="9" t="s">
        <v>96</v>
      </c>
      <c r="E25" s="9" t="s">
        <v>78</v>
      </c>
      <c r="F25" s="9" t="s">
        <v>78</v>
      </c>
      <c r="H25" s="9" t="s">
        <v>65</v>
      </c>
      <c r="I25" s="9" t="s">
        <v>83</v>
      </c>
      <c r="K25" s="9" t="s">
        <v>322</v>
      </c>
      <c r="P25" s="10">
        <v>5</v>
      </c>
      <c r="Q25" s="10">
        <v>5</v>
      </c>
      <c r="R25" s="10">
        <v>5</v>
      </c>
      <c r="S25" s="10">
        <v>5</v>
      </c>
      <c r="T25" s="10">
        <v>5</v>
      </c>
      <c r="U25" s="10">
        <v>5</v>
      </c>
      <c r="V25" s="10">
        <v>5</v>
      </c>
      <c r="W25" s="11">
        <v>2</v>
      </c>
      <c r="X25" s="11">
        <v>1</v>
      </c>
      <c r="Y25" s="11">
        <v>1</v>
      </c>
      <c r="Z25" s="11">
        <v>1</v>
      </c>
      <c r="AA25" s="11">
        <v>1</v>
      </c>
      <c r="AB25" s="11">
        <v>1</v>
      </c>
      <c r="AC25" s="11">
        <v>1.1666666666666667</v>
      </c>
      <c r="AD25" s="10"/>
      <c r="AE25" s="10"/>
      <c r="AF25" s="10"/>
      <c r="AG25" s="10"/>
      <c r="AH25" s="10"/>
      <c r="AI25" s="10"/>
      <c r="AJ25" s="10">
        <v>1</v>
      </c>
      <c r="AK25" s="10">
        <v>5</v>
      </c>
      <c r="AL25" s="10">
        <v>5</v>
      </c>
      <c r="AM25" s="10">
        <v>5</v>
      </c>
      <c r="AN25" s="10">
        <v>5</v>
      </c>
      <c r="AO25" s="10"/>
      <c r="AP25" s="10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X25" s="9">
        <f t="shared" si="13"/>
        <v>1</v>
      </c>
      <c r="BY25" s="9">
        <f t="shared" si="14"/>
        <v>1</v>
      </c>
      <c r="BZ25" s="9">
        <f t="shared" si="15"/>
        <v>5</v>
      </c>
      <c r="CA25" s="9">
        <f t="shared" si="16"/>
        <v>5</v>
      </c>
      <c r="CB25" s="9">
        <f t="shared" si="17"/>
        <v>0</v>
      </c>
      <c r="CC25" s="9">
        <f t="shared" si="18"/>
        <v>0</v>
      </c>
      <c r="CD25" s="9">
        <f t="shared" si="6"/>
        <v>0</v>
      </c>
      <c r="CE25" s="21">
        <f t="shared" si="7"/>
        <v>1.1666666666666667</v>
      </c>
      <c r="CF25" s="21">
        <f t="shared" si="8"/>
        <v>1</v>
      </c>
      <c r="CG25" s="21">
        <f t="shared" si="9"/>
        <v>5</v>
      </c>
      <c r="CH25" s="21">
        <f t="shared" si="10"/>
        <v>5</v>
      </c>
      <c r="CI25" s="21">
        <f t="shared" si="11"/>
        <v>0</v>
      </c>
      <c r="CJ25" s="21">
        <f t="shared" si="12"/>
        <v>2.4333333333333336</v>
      </c>
    </row>
    <row r="26" spans="1:88">
      <c r="A26" s="9">
        <v>25</v>
      </c>
      <c r="B26" s="9" t="s">
        <v>79</v>
      </c>
      <c r="D26" s="9" t="s">
        <v>75</v>
      </c>
      <c r="E26" s="9" t="s">
        <v>105</v>
      </c>
      <c r="F26" s="9" t="s">
        <v>64</v>
      </c>
      <c r="H26" s="9" t="s">
        <v>65</v>
      </c>
      <c r="I26" s="9" t="s">
        <v>65</v>
      </c>
      <c r="K26" s="9" t="s">
        <v>322</v>
      </c>
      <c r="N26" s="9" t="s">
        <v>70</v>
      </c>
      <c r="P26" s="10">
        <v>5</v>
      </c>
      <c r="Q26" s="10">
        <v>5</v>
      </c>
      <c r="R26" s="10">
        <v>5</v>
      </c>
      <c r="S26" s="10">
        <v>5</v>
      </c>
      <c r="T26" s="10">
        <v>5</v>
      </c>
      <c r="U26" s="10">
        <v>5</v>
      </c>
      <c r="V26" s="10">
        <v>5</v>
      </c>
      <c r="W26" s="11">
        <v>1</v>
      </c>
      <c r="X26" s="11">
        <v>5</v>
      </c>
      <c r="Y26" s="11">
        <v>5</v>
      </c>
      <c r="Z26" s="11">
        <v>3</v>
      </c>
      <c r="AA26" s="11">
        <v>4</v>
      </c>
      <c r="AB26" s="11">
        <v>5</v>
      </c>
      <c r="AC26" s="11">
        <v>3.8333333333333335</v>
      </c>
      <c r="AD26" s="10"/>
      <c r="AE26" s="10"/>
      <c r="AF26" s="10"/>
      <c r="AG26" s="10"/>
      <c r="AH26" s="10"/>
      <c r="AI26" s="10"/>
      <c r="AJ26" s="10">
        <v>5</v>
      </c>
      <c r="AK26" s="10">
        <v>5</v>
      </c>
      <c r="AL26" s="10">
        <v>5</v>
      </c>
      <c r="AM26" s="10">
        <v>5</v>
      </c>
      <c r="AN26" s="10">
        <v>5</v>
      </c>
      <c r="AO26" s="10">
        <v>5</v>
      </c>
      <c r="AP26" s="10">
        <v>5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X26" s="9">
        <f t="shared" si="13"/>
        <v>1</v>
      </c>
      <c r="BY26" s="9">
        <f t="shared" si="14"/>
        <v>5</v>
      </c>
      <c r="BZ26" s="9">
        <f t="shared" si="15"/>
        <v>5</v>
      </c>
      <c r="CA26" s="9">
        <f t="shared" si="16"/>
        <v>5</v>
      </c>
      <c r="CB26" s="9">
        <f t="shared" si="17"/>
        <v>5</v>
      </c>
      <c r="CC26" s="9">
        <f t="shared" si="18"/>
        <v>5</v>
      </c>
      <c r="CD26" s="9">
        <f t="shared" si="6"/>
        <v>1</v>
      </c>
      <c r="CE26" s="21">
        <f t="shared" si="7"/>
        <v>3.8333333333333335</v>
      </c>
      <c r="CF26" s="21">
        <f t="shared" si="8"/>
        <v>5</v>
      </c>
      <c r="CG26" s="21">
        <f t="shared" si="9"/>
        <v>5</v>
      </c>
      <c r="CH26" s="21">
        <f t="shared" si="10"/>
        <v>5</v>
      </c>
      <c r="CI26" s="21">
        <f t="shared" si="11"/>
        <v>5</v>
      </c>
      <c r="CJ26" s="21">
        <f t="shared" si="12"/>
        <v>4.7666666666666675</v>
      </c>
    </row>
    <row r="27" spans="1:88">
      <c r="A27" s="9">
        <v>26</v>
      </c>
      <c r="B27" s="9" t="s">
        <v>60</v>
      </c>
      <c r="C27" s="9" t="s">
        <v>106</v>
      </c>
      <c r="D27" s="9" t="s">
        <v>107</v>
      </c>
      <c r="E27" s="9" t="s">
        <v>74</v>
      </c>
      <c r="F27" s="9" t="s">
        <v>78</v>
      </c>
      <c r="G27" s="9">
        <v>2015</v>
      </c>
      <c r="H27" s="9" t="s">
        <v>69</v>
      </c>
      <c r="I27" s="9" t="s">
        <v>69</v>
      </c>
      <c r="K27" s="9" t="s">
        <v>322</v>
      </c>
      <c r="N27" s="9" t="s">
        <v>70</v>
      </c>
      <c r="P27" s="10">
        <v>5</v>
      </c>
      <c r="Q27" s="10">
        <v>5</v>
      </c>
      <c r="R27" s="10">
        <v>5</v>
      </c>
      <c r="S27" s="10">
        <v>5</v>
      </c>
      <c r="T27" s="10">
        <v>5</v>
      </c>
      <c r="U27" s="10">
        <v>5</v>
      </c>
      <c r="V27" s="10">
        <v>5</v>
      </c>
      <c r="W27" s="11">
        <v>1</v>
      </c>
      <c r="X27" s="11">
        <v>1</v>
      </c>
      <c r="Y27" s="11">
        <v>1</v>
      </c>
      <c r="Z27" s="11">
        <v>1</v>
      </c>
      <c r="AA27" s="11">
        <v>1</v>
      </c>
      <c r="AB27" s="11">
        <v>1</v>
      </c>
      <c r="AC27" s="11">
        <v>1</v>
      </c>
      <c r="AD27" s="10"/>
      <c r="AE27" s="10"/>
      <c r="AF27" s="10"/>
      <c r="AG27" s="10"/>
      <c r="AH27" s="10"/>
      <c r="AI27" s="10"/>
      <c r="AJ27" s="10">
        <v>1</v>
      </c>
      <c r="AK27" s="10">
        <v>5</v>
      </c>
      <c r="AL27" s="10">
        <v>5</v>
      </c>
      <c r="AM27" s="10">
        <v>5</v>
      </c>
      <c r="AN27" s="10">
        <v>5</v>
      </c>
      <c r="AO27" s="10">
        <v>5</v>
      </c>
      <c r="AP27" s="10">
        <v>5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X27" s="9">
        <f t="shared" si="13"/>
        <v>1</v>
      </c>
      <c r="BY27" s="9">
        <f t="shared" si="14"/>
        <v>1</v>
      </c>
      <c r="BZ27" s="9">
        <f t="shared" si="15"/>
        <v>5</v>
      </c>
      <c r="CA27" s="9">
        <f t="shared" si="16"/>
        <v>5</v>
      </c>
      <c r="CB27" s="9">
        <f t="shared" si="17"/>
        <v>5</v>
      </c>
      <c r="CC27" s="9">
        <f t="shared" si="18"/>
        <v>5</v>
      </c>
      <c r="CD27" s="9">
        <f t="shared" si="6"/>
        <v>1</v>
      </c>
      <c r="CE27" s="21">
        <f t="shared" si="7"/>
        <v>1</v>
      </c>
      <c r="CF27" s="21">
        <f t="shared" si="8"/>
        <v>1</v>
      </c>
      <c r="CG27" s="21">
        <f t="shared" si="9"/>
        <v>5</v>
      </c>
      <c r="CH27" s="21">
        <f t="shared" si="10"/>
        <v>5</v>
      </c>
      <c r="CI27" s="21">
        <f t="shared" si="11"/>
        <v>5</v>
      </c>
      <c r="CJ27" s="21">
        <f t="shared" si="12"/>
        <v>3.4</v>
      </c>
    </row>
    <row r="28" spans="1:88">
      <c r="A28" s="9">
        <v>27</v>
      </c>
      <c r="B28" s="9" t="s">
        <v>108</v>
      </c>
      <c r="C28" s="9" t="s">
        <v>109</v>
      </c>
      <c r="D28" s="9" t="s">
        <v>73</v>
      </c>
      <c r="E28" s="9" t="s">
        <v>63</v>
      </c>
      <c r="F28" s="9" t="s">
        <v>78</v>
      </c>
      <c r="H28" s="9" t="s">
        <v>65</v>
      </c>
      <c r="I28" s="9" t="s">
        <v>65</v>
      </c>
      <c r="K28" s="9" t="s">
        <v>322</v>
      </c>
      <c r="L28" s="9" t="s">
        <v>70</v>
      </c>
      <c r="P28" s="10">
        <v>5</v>
      </c>
      <c r="Q28" s="10">
        <v>5</v>
      </c>
      <c r="R28" s="10">
        <v>5</v>
      </c>
      <c r="S28" s="10">
        <v>5</v>
      </c>
      <c r="T28" s="10">
        <v>5</v>
      </c>
      <c r="U28" s="10">
        <v>5</v>
      </c>
      <c r="V28" s="10">
        <v>5</v>
      </c>
      <c r="W28" s="11">
        <v>1</v>
      </c>
      <c r="X28" s="11">
        <v>1</v>
      </c>
      <c r="Y28" s="11">
        <v>3</v>
      </c>
      <c r="Z28" s="11">
        <v>3</v>
      </c>
      <c r="AA28" s="11">
        <v>5</v>
      </c>
      <c r="AB28" s="11">
        <v>5</v>
      </c>
      <c r="AC28" s="11">
        <v>3</v>
      </c>
      <c r="AD28" s="10"/>
      <c r="AE28" s="10"/>
      <c r="AF28" s="10"/>
      <c r="AG28" s="10"/>
      <c r="AH28" s="10"/>
      <c r="AI28" s="10"/>
      <c r="AJ28" s="10">
        <v>2</v>
      </c>
      <c r="AK28" s="10">
        <v>5</v>
      </c>
      <c r="AL28" s="10">
        <v>5</v>
      </c>
      <c r="AM28" s="10"/>
      <c r="AN28" s="10">
        <v>5</v>
      </c>
      <c r="AO28" s="10"/>
      <c r="AP28" s="10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X28" s="9">
        <f t="shared" si="13"/>
        <v>1</v>
      </c>
      <c r="BY28" s="9">
        <f t="shared" si="14"/>
        <v>2</v>
      </c>
      <c r="BZ28" s="9">
        <f t="shared" si="15"/>
        <v>5</v>
      </c>
      <c r="CA28" s="9">
        <f t="shared" si="16"/>
        <v>5</v>
      </c>
      <c r="CB28" s="9">
        <f t="shared" si="17"/>
        <v>0</v>
      </c>
      <c r="CC28" s="9">
        <f t="shared" si="18"/>
        <v>0</v>
      </c>
      <c r="CD28" s="9">
        <f t="shared" si="6"/>
        <v>0</v>
      </c>
      <c r="CE28" s="21">
        <f t="shared" si="7"/>
        <v>3</v>
      </c>
      <c r="CF28" s="21">
        <f t="shared" si="8"/>
        <v>2</v>
      </c>
      <c r="CG28" s="21">
        <f t="shared" si="9"/>
        <v>5</v>
      </c>
      <c r="CH28" s="21">
        <f t="shared" si="10"/>
        <v>5</v>
      </c>
      <c r="CI28" s="21">
        <f t="shared" si="11"/>
        <v>0</v>
      </c>
      <c r="CJ28" s="21">
        <f t="shared" si="12"/>
        <v>3</v>
      </c>
    </row>
    <row r="29" spans="1:88">
      <c r="A29" s="9">
        <v>28</v>
      </c>
      <c r="B29" s="9" t="s">
        <v>84</v>
      </c>
      <c r="D29" s="9" t="s">
        <v>73</v>
      </c>
      <c r="E29" s="9" t="s">
        <v>63</v>
      </c>
      <c r="F29" s="9" t="s">
        <v>78</v>
      </c>
      <c r="H29" s="9" t="s">
        <v>69</v>
      </c>
      <c r="I29" s="9" t="s">
        <v>69</v>
      </c>
      <c r="K29" s="9" t="s">
        <v>322</v>
      </c>
      <c r="N29" s="9" t="s">
        <v>70</v>
      </c>
      <c r="P29" s="10">
        <v>3</v>
      </c>
      <c r="Q29" s="10">
        <v>3</v>
      </c>
      <c r="R29" s="10">
        <v>3</v>
      </c>
      <c r="S29" s="10">
        <v>3</v>
      </c>
      <c r="T29" s="10">
        <v>3</v>
      </c>
      <c r="U29" s="10">
        <v>3</v>
      </c>
      <c r="V29" s="10">
        <v>3</v>
      </c>
      <c r="W29" s="11">
        <v>1</v>
      </c>
      <c r="X29" s="11">
        <v>1</v>
      </c>
      <c r="Y29" s="11">
        <v>3</v>
      </c>
      <c r="Z29" s="11">
        <v>5</v>
      </c>
      <c r="AA29" s="11">
        <v>5</v>
      </c>
      <c r="AB29" s="11">
        <v>1</v>
      </c>
      <c r="AC29" s="11">
        <v>2.6666666666666665</v>
      </c>
      <c r="AD29" s="10"/>
      <c r="AE29" s="10"/>
      <c r="AF29" s="10"/>
      <c r="AG29" s="10"/>
      <c r="AH29" s="10"/>
      <c r="AI29" s="10"/>
      <c r="AJ29" s="10">
        <v>1</v>
      </c>
      <c r="AK29" s="10">
        <v>5</v>
      </c>
      <c r="AL29" s="10">
        <v>5</v>
      </c>
      <c r="AM29" s="10">
        <v>5</v>
      </c>
      <c r="AN29" s="10">
        <v>5</v>
      </c>
      <c r="AO29" s="10">
        <v>5</v>
      </c>
      <c r="AP29" s="10">
        <v>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X29" s="9">
        <f t="shared" si="13"/>
        <v>1</v>
      </c>
      <c r="BY29" s="9">
        <f t="shared" si="14"/>
        <v>1</v>
      </c>
      <c r="BZ29" s="9">
        <f t="shared" si="15"/>
        <v>3</v>
      </c>
      <c r="CA29" s="9">
        <f t="shared" si="16"/>
        <v>5</v>
      </c>
      <c r="CB29" s="9">
        <f t="shared" si="17"/>
        <v>5</v>
      </c>
      <c r="CC29" s="9">
        <f t="shared" si="18"/>
        <v>5</v>
      </c>
      <c r="CD29" s="9">
        <f t="shared" si="6"/>
        <v>1</v>
      </c>
      <c r="CE29" s="21">
        <f t="shared" si="7"/>
        <v>2.6666666666666665</v>
      </c>
      <c r="CF29" s="21">
        <f t="shared" si="8"/>
        <v>1</v>
      </c>
      <c r="CG29" s="21">
        <f t="shared" si="9"/>
        <v>3</v>
      </c>
      <c r="CH29" s="21">
        <f t="shared" si="10"/>
        <v>5</v>
      </c>
      <c r="CI29" s="21">
        <f t="shared" si="11"/>
        <v>5</v>
      </c>
      <c r="CJ29" s="21">
        <f t="shared" si="12"/>
        <v>3.333333333333333</v>
      </c>
    </row>
    <row r="30" spans="1:88">
      <c r="A30" s="9">
        <v>29</v>
      </c>
      <c r="B30" s="9" t="s">
        <v>60</v>
      </c>
      <c r="C30" s="9" t="s">
        <v>103</v>
      </c>
      <c r="D30" s="9" t="s">
        <v>72</v>
      </c>
      <c r="E30" s="9" t="s">
        <v>105</v>
      </c>
      <c r="F30" s="9" t="s">
        <v>64</v>
      </c>
      <c r="H30" s="9" t="s">
        <v>65</v>
      </c>
      <c r="I30" s="9" t="s">
        <v>83</v>
      </c>
      <c r="J30" s="9" t="s">
        <v>65</v>
      </c>
      <c r="K30" s="9" t="s">
        <v>92</v>
      </c>
      <c r="L30" s="9" t="s">
        <v>70</v>
      </c>
      <c r="N30" s="9" t="s">
        <v>70</v>
      </c>
      <c r="P30" s="10">
        <v>5</v>
      </c>
      <c r="Q30" s="10">
        <v>5</v>
      </c>
      <c r="R30" s="10">
        <v>5</v>
      </c>
      <c r="S30" s="10">
        <v>5</v>
      </c>
      <c r="T30" s="10">
        <v>5</v>
      </c>
      <c r="U30" s="10">
        <v>5</v>
      </c>
      <c r="V30" s="10">
        <v>5</v>
      </c>
      <c r="W30" s="11">
        <v>2</v>
      </c>
      <c r="X30" s="11">
        <v>1</v>
      </c>
      <c r="Y30" s="11">
        <v>1</v>
      </c>
      <c r="Z30" s="11">
        <v>1</v>
      </c>
      <c r="AA30" s="11">
        <v>2</v>
      </c>
      <c r="AB30" s="11">
        <v>1</v>
      </c>
      <c r="AC30" s="11">
        <v>1.3333333333333333</v>
      </c>
      <c r="AD30" s="10"/>
      <c r="AE30" s="10"/>
      <c r="AF30" s="10"/>
      <c r="AG30" s="10"/>
      <c r="AH30" s="10"/>
      <c r="AI30" s="10"/>
      <c r="AJ30" s="10">
        <v>1</v>
      </c>
      <c r="AK30" s="10">
        <v>5</v>
      </c>
      <c r="AL30" s="10">
        <v>5</v>
      </c>
      <c r="AM30" s="10">
        <v>5</v>
      </c>
      <c r="AN30" s="10">
        <v>5</v>
      </c>
      <c r="AO30" s="10">
        <v>5</v>
      </c>
      <c r="AP30" s="10">
        <v>5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X30" s="9">
        <f t="shared" si="13"/>
        <v>1</v>
      </c>
      <c r="BY30" s="9">
        <f t="shared" si="14"/>
        <v>1</v>
      </c>
      <c r="BZ30" s="9">
        <f t="shared" si="15"/>
        <v>5</v>
      </c>
      <c r="CA30" s="9">
        <f t="shared" si="16"/>
        <v>5</v>
      </c>
      <c r="CB30" s="9">
        <f t="shared" si="17"/>
        <v>5</v>
      </c>
      <c r="CC30" s="9">
        <f t="shared" si="18"/>
        <v>5</v>
      </c>
      <c r="CD30" s="9">
        <f t="shared" si="6"/>
        <v>1</v>
      </c>
      <c r="CE30" s="21">
        <f t="shared" si="7"/>
        <v>1.3333333333333333</v>
      </c>
      <c r="CF30" s="21">
        <f t="shared" si="8"/>
        <v>1</v>
      </c>
      <c r="CG30" s="21">
        <f t="shared" si="9"/>
        <v>5</v>
      </c>
      <c r="CH30" s="21">
        <f t="shared" si="10"/>
        <v>5</v>
      </c>
      <c r="CI30" s="21">
        <f t="shared" si="11"/>
        <v>5</v>
      </c>
      <c r="CJ30" s="21">
        <f t="shared" si="12"/>
        <v>3.4666666666666663</v>
      </c>
    </row>
    <row r="31" spans="1:88">
      <c r="A31" s="9">
        <v>30</v>
      </c>
      <c r="B31" s="9" t="s">
        <v>90</v>
      </c>
      <c r="C31" s="9" t="s">
        <v>110</v>
      </c>
      <c r="D31" s="9" t="s">
        <v>62</v>
      </c>
      <c r="E31" s="9" t="s">
        <v>74</v>
      </c>
      <c r="H31" s="9" t="s">
        <v>65</v>
      </c>
      <c r="I31" s="9" t="s">
        <v>329</v>
      </c>
      <c r="J31" s="9" t="s">
        <v>65</v>
      </c>
      <c r="K31" s="9" t="s">
        <v>92</v>
      </c>
      <c r="L31" s="9" t="s">
        <v>70</v>
      </c>
      <c r="P31" s="10">
        <v>4</v>
      </c>
      <c r="Q31" s="10">
        <v>4</v>
      </c>
      <c r="R31" s="10">
        <v>3</v>
      </c>
      <c r="S31" s="10">
        <v>3.5</v>
      </c>
      <c r="T31" s="10">
        <v>4</v>
      </c>
      <c r="U31" s="10">
        <v>3</v>
      </c>
      <c r="V31" s="10">
        <v>3.5833333333333335</v>
      </c>
      <c r="W31" s="11">
        <v>5</v>
      </c>
      <c r="X31" s="11">
        <v>5</v>
      </c>
      <c r="Y31" s="11">
        <v>5</v>
      </c>
      <c r="Z31" s="11">
        <v>5</v>
      </c>
      <c r="AA31" s="11">
        <v>5</v>
      </c>
      <c r="AB31" s="11">
        <v>5</v>
      </c>
      <c r="AC31" s="11">
        <v>5</v>
      </c>
      <c r="AD31" s="10"/>
      <c r="AE31" s="10"/>
      <c r="AF31" s="10"/>
      <c r="AG31" s="10"/>
      <c r="AH31" s="10"/>
      <c r="AI31" s="10"/>
      <c r="AJ31" s="10">
        <v>5</v>
      </c>
      <c r="AK31" s="10">
        <v>4</v>
      </c>
      <c r="AL31" s="10">
        <v>4</v>
      </c>
      <c r="AM31" s="10">
        <v>4</v>
      </c>
      <c r="AN31" s="10">
        <v>4</v>
      </c>
      <c r="AO31" s="10">
        <v>5</v>
      </c>
      <c r="AP31" s="10">
        <v>4.5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X31" s="9">
        <f t="shared" si="13"/>
        <v>5</v>
      </c>
      <c r="BY31" s="9">
        <f t="shared" si="14"/>
        <v>5</v>
      </c>
      <c r="BZ31" s="9">
        <f t="shared" si="15"/>
        <v>3</v>
      </c>
      <c r="CA31" s="9">
        <f t="shared" si="16"/>
        <v>4</v>
      </c>
      <c r="CB31" s="9">
        <f t="shared" si="17"/>
        <v>5</v>
      </c>
      <c r="CC31" s="9">
        <f t="shared" si="18"/>
        <v>4.5</v>
      </c>
      <c r="CD31" s="9">
        <f t="shared" si="6"/>
        <v>3</v>
      </c>
      <c r="CE31" s="21">
        <f t="shared" si="7"/>
        <v>5</v>
      </c>
      <c r="CF31" s="21">
        <f t="shared" si="8"/>
        <v>5</v>
      </c>
      <c r="CG31" s="21">
        <f t="shared" si="9"/>
        <v>3.5833333333333335</v>
      </c>
      <c r="CH31" s="21">
        <f t="shared" si="10"/>
        <v>4</v>
      </c>
      <c r="CI31" s="21">
        <f t="shared" si="11"/>
        <v>4.5</v>
      </c>
      <c r="CJ31" s="21">
        <f t="shared" si="12"/>
        <v>4.416666666666667</v>
      </c>
    </row>
    <row r="32" spans="1:88">
      <c r="A32" s="9">
        <v>31</v>
      </c>
      <c r="B32" s="9" t="s">
        <v>101</v>
      </c>
      <c r="C32" s="9" t="s">
        <v>102</v>
      </c>
      <c r="D32" s="9" t="s">
        <v>111</v>
      </c>
      <c r="E32" s="9" t="s">
        <v>63</v>
      </c>
      <c r="F32" s="9" t="s">
        <v>64</v>
      </c>
      <c r="H32" s="9" t="s">
        <v>65</v>
      </c>
      <c r="I32" s="9" t="s">
        <v>83</v>
      </c>
      <c r="J32" s="9" t="s">
        <v>69</v>
      </c>
      <c r="K32" s="9" t="s">
        <v>92</v>
      </c>
      <c r="L32" s="9" t="s">
        <v>70</v>
      </c>
      <c r="P32" s="10">
        <v>5</v>
      </c>
      <c r="Q32" s="10">
        <v>5</v>
      </c>
      <c r="R32" s="10">
        <v>5</v>
      </c>
      <c r="S32" s="10">
        <v>5</v>
      </c>
      <c r="T32" s="10">
        <v>5</v>
      </c>
      <c r="U32" s="10">
        <v>5</v>
      </c>
      <c r="V32" s="10">
        <v>5</v>
      </c>
      <c r="W32" s="11">
        <v>2</v>
      </c>
      <c r="X32" s="11">
        <v>1</v>
      </c>
      <c r="Y32" s="11">
        <v>1</v>
      </c>
      <c r="Z32" s="11">
        <v>3</v>
      </c>
      <c r="AA32" s="11">
        <v>2</v>
      </c>
      <c r="AB32" s="11">
        <v>1</v>
      </c>
      <c r="AC32" s="11">
        <v>1.6666666666666667</v>
      </c>
      <c r="AD32" s="10"/>
      <c r="AE32" s="10"/>
      <c r="AF32" s="10"/>
      <c r="AG32" s="10"/>
      <c r="AH32" s="10"/>
      <c r="AI32" s="10"/>
      <c r="AJ32" s="10">
        <v>1</v>
      </c>
      <c r="AK32" s="10">
        <v>5</v>
      </c>
      <c r="AL32" s="10">
        <v>5</v>
      </c>
      <c r="AM32" s="10"/>
      <c r="AN32" s="10">
        <v>5</v>
      </c>
      <c r="AO32" s="10">
        <v>5</v>
      </c>
      <c r="AP32" s="10">
        <v>5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X32" s="9">
        <f t="shared" si="13"/>
        <v>1</v>
      </c>
      <c r="BY32" s="9">
        <f t="shared" si="14"/>
        <v>1</v>
      </c>
      <c r="BZ32" s="9">
        <f t="shared" si="15"/>
        <v>5</v>
      </c>
      <c r="CA32" s="9">
        <f t="shared" si="16"/>
        <v>5</v>
      </c>
      <c r="CB32" s="9">
        <f t="shared" si="17"/>
        <v>5</v>
      </c>
      <c r="CC32" s="9">
        <f t="shared" si="18"/>
        <v>5</v>
      </c>
      <c r="CD32" s="9">
        <f t="shared" si="6"/>
        <v>1</v>
      </c>
      <c r="CE32" s="21">
        <f t="shared" si="7"/>
        <v>1.6666666666666667</v>
      </c>
      <c r="CF32" s="21">
        <f t="shared" si="8"/>
        <v>1</v>
      </c>
      <c r="CG32" s="21">
        <f t="shared" si="9"/>
        <v>5</v>
      </c>
      <c r="CH32" s="21">
        <f t="shared" si="10"/>
        <v>5</v>
      </c>
      <c r="CI32" s="21">
        <f t="shared" si="11"/>
        <v>5</v>
      </c>
      <c r="CJ32" s="21">
        <f t="shared" si="12"/>
        <v>3.5333333333333337</v>
      </c>
    </row>
    <row r="33" spans="1:88">
      <c r="A33" s="9">
        <v>32</v>
      </c>
      <c r="B33" s="9" t="s">
        <v>90</v>
      </c>
      <c r="C33" s="9" t="s">
        <v>112</v>
      </c>
      <c r="D33" s="9" t="s">
        <v>96</v>
      </c>
      <c r="E33" s="9" t="s">
        <v>113</v>
      </c>
      <c r="F33" s="9" t="s">
        <v>64</v>
      </c>
      <c r="H33" s="9" t="s">
        <v>69</v>
      </c>
      <c r="I33" s="9" t="s">
        <v>83</v>
      </c>
      <c r="K33" s="9" t="s">
        <v>322</v>
      </c>
      <c r="P33" s="10">
        <v>5</v>
      </c>
      <c r="Q33" s="10">
        <v>5</v>
      </c>
      <c r="R33" s="10">
        <v>5</v>
      </c>
      <c r="S33" s="10">
        <v>5</v>
      </c>
      <c r="T33" s="10">
        <v>3.5</v>
      </c>
      <c r="U33" s="10">
        <v>5</v>
      </c>
      <c r="V33" s="10">
        <v>4.75</v>
      </c>
      <c r="W33" s="11">
        <v>3</v>
      </c>
      <c r="X33" s="11">
        <v>1</v>
      </c>
      <c r="Y33" s="11">
        <v>5</v>
      </c>
      <c r="Z33" s="11">
        <v>5</v>
      </c>
      <c r="AA33" s="11">
        <v>5</v>
      </c>
      <c r="AB33" s="11">
        <v>1</v>
      </c>
      <c r="AC33" s="11">
        <v>3.3333333333333335</v>
      </c>
      <c r="AD33" s="10"/>
      <c r="AE33" s="10"/>
      <c r="AF33" s="10"/>
      <c r="AG33" s="10"/>
      <c r="AH33" s="10"/>
      <c r="AI33" s="10"/>
      <c r="AJ33" s="10">
        <v>1</v>
      </c>
      <c r="AK33" s="10">
        <v>3</v>
      </c>
      <c r="AL33" s="10">
        <v>3</v>
      </c>
      <c r="AM33" s="10"/>
      <c r="AN33" s="10">
        <v>3</v>
      </c>
      <c r="AO33" s="10"/>
      <c r="AP33" s="10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X33" s="9">
        <f t="shared" si="13"/>
        <v>1</v>
      </c>
      <c r="BY33" s="9">
        <f t="shared" si="14"/>
        <v>1</v>
      </c>
      <c r="BZ33" s="9">
        <f t="shared" si="15"/>
        <v>3.5</v>
      </c>
      <c r="CA33" s="9">
        <f t="shared" si="16"/>
        <v>3</v>
      </c>
      <c r="CB33" s="9">
        <f t="shared" si="17"/>
        <v>0</v>
      </c>
      <c r="CC33" s="9">
        <f t="shared" si="18"/>
        <v>0</v>
      </c>
      <c r="CD33" s="9">
        <f t="shared" si="6"/>
        <v>0</v>
      </c>
      <c r="CE33" s="21">
        <f t="shared" si="7"/>
        <v>3.3333333333333335</v>
      </c>
      <c r="CF33" s="21">
        <f t="shared" si="8"/>
        <v>1</v>
      </c>
      <c r="CG33" s="21">
        <f t="shared" si="9"/>
        <v>4.75</v>
      </c>
      <c r="CH33" s="21">
        <f t="shared" si="10"/>
        <v>3</v>
      </c>
      <c r="CI33" s="21">
        <f t="shared" si="11"/>
        <v>0</v>
      </c>
      <c r="CJ33" s="21">
        <f t="shared" si="12"/>
        <v>2.416666666666667</v>
      </c>
    </row>
    <row r="34" spans="1:88">
      <c r="A34" s="9">
        <v>33</v>
      </c>
      <c r="B34" s="9" t="s">
        <v>114</v>
      </c>
      <c r="C34" s="9" t="s">
        <v>115</v>
      </c>
      <c r="D34" s="9" t="s">
        <v>73</v>
      </c>
      <c r="E34" s="9" t="s">
        <v>78</v>
      </c>
      <c r="H34" s="9" t="s">
        <v>65</v>
      </c>
      <c r="I34" s="9" t="s">
        <v>83</v>
      </c>
      <c r="K34" s="9" t="s">
        <v>322</v>
      </c>
      <c r="N34" s="9" t="s">
        <v>70</v>
      </c>
      <c r="P34" s="10">
        <v>5</v>
      </c>
      <c r="Q34" s="10">
        <v>5</v>
      </c>
      <c r="R34" s="10">
        <v>5</v>
      </c>
      <c r="S34" s="10">
        <v>5</v>
      </c>
      <c r="T34" s="10">
        <v>5</v>
      </c>
      <c r="U34" s="10">
        <v>5</v>
      </c>
      <c r="V34" s="10">
        <v>5</v>
      </c>
      <c r="W34" s="11">
        <v>1</v>
      </c>
      <c r="X34" s="11">
        <v>1</v>
      </c>
      <c r="Y34" s="11">
        <v>1</v>
      </c>
      <c r="Z34" s="11">
        <v>3</v>
      </c>
      <c r="AA34" s="11">
        <v>2</v>
      </c>
      <c r="AB34" s="11">
        <v>1</v>
      </c>
      <c r="AC34" s="11">
        <v>1.5</v>
      </c>
      <c r="AD34" s="10"/>
      <c r="AE34" s="10"/>
      <c r="AF34" s="10"/>
      <c r="AG34" s="10"/>
      <c r="AH34" s="10"/>
      <c r="AI34" s="10"/>
      <c r="AJ34" s="10">
        <v>2</v>
      </c>
      <c r="AK34" s="10">
        <v>5</v>
      </c>
      <c r="AL34" s="10">
        <v>5</v>
      </c>
      <c r="AM34" s="10">
        <v>5</v>
      </c>
      <c r="AN34" s="10">
        <v>5</v>
      </c>
      <c r="AO34" s="10">
        <v>5</v>
      </c>
      <c r="AP34" s="10">
        <v>5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X34" s="9">
        <f t="shared" si="13"/>
        <v>1</v>
      </c>
      <c r="BY34" s="9">
        <f t="shared" si="14"/>
        <v>2</v>
      </c>
      <c r="BZ34" s="9">
        <f t="shared" si="15"/>
        <v>5</v>
      </c>
      <c r="CA34" s="9">
        <f t="shared" si="16"/>
        <v>5</v>
      </c>
      <c r="CB34" s="9">
        <f t="shared" si="17"/>
        <v>5</v>
      </c>
      <c r="CC34" s="9">
        <f t="shared" si="18"/>
        <v>5</v>
      </c>
      <c r="CD34" s="9">
        <f t="shared" si="6"/>
        <v>1</v>
      </c>
      <c r="CE34" s="21">
        <f t="shared" si="7"/>
        <v>1.5</v>
      </c>
      <c r="CF34" s="21">
        <f t="shared" si="8"/>
        <v>2</v>
      </c>
      <c r="CG34" s="21">
        <f t="shared" si="9"/>
        <v>5</v>
      </c>
      <c r="CH34" s="21">
        <f t="shared" si="10"/>
        <v>5</v>
      </c>
      <c r="CI34" s="21">
        <f t="shared" si="11"/>
        <v>5</v>
      </c>
      <c r="CJ34" s="21">
        <f t="shared" si="12"/>
        <v>3.7</v>
      </c>
    </row>
    <row r="35" spans="1:88">
      <c r="A35" s="9">
        <v>34</v>
      </c>
      <c r="B35" s="9" t="s">
        <v>95</v>
      </c>
      <c r="D35" s="9" t="s">
        <v>116</v>
      </c>
      <c r="E35" s="9" t="s">
        <v>105</v>
      </c>
      <c r="F35" s="9" t="s">
        <v>78</v>
      </c>
      <c r="H35" s="9" t="s">
        <v>65</v>
      </c>
      <c r="I35" s="9" t="s">
        <v>65</v>
      </c>
      <c r="K35" s="9" t="s">
        <v>322</v>
      </c>
      <c r="N35" s="9" t="s">
        <v>70</v>
      </c>
      <c r="P35" s="10">
        <v>5</v>
      </c>
      <c r="Q35" s="10">
        <v>5</v>
      </c>
      <c r="R35" s="10">
        <v>5</v>
      </c>
      <c r="S35" s="10">
        <v>5</v>
      </c>
      <c r="T35" s="10">
        <v>5</v>
      </c>
      <c r="U35" s="10">
        <v>5</v>
      </c>
      <c r="V35" s="10">
        <v>5</v>
      </c>
      <c r="W35" s="11">
        <v>1</v>
      </c>
      <c r="X35" s="11">
        <v>1</v>
      </c>
      <c r="Y35" s="11">
        <v>1</v>
      </c>
      <c r="Z35" s="11">
        <v>1</v>
      </c>
      <c r="AA35" s="11">
        <v>1</v>
      </c>
      <c r="AB35" s="11">
        <v>1</v>
      </c>
      <c r="AC35" s="11">
        <v>1</v>
      </c>
      <c r="AD35" s="10"/>
      <c r="AE35" s="10"/>
      <c r="AF35" s="10"/>
      <c r="AG35" s="10"/>
      <c r="AH35" s="10"/>
      <c r="AI35" s="10"/>
      <c r="AJ35" s="10"/>
      <c r="AK35" s="10">
        <v>5</v>
      </c>
      <c r="AL35" s="10">
        <v>5</v>
      </c>
      <c r="AM35" s="10">
        <v>5</v>
      </c>
      <c r="AN35" s="10">
        <v>5</v>
      </c>
      <c r="AO35" s="10">
        <v>3</v>
      </c>
      <c r="AP35" s="10">
        <v>5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X35" s="9">
        <f t="shared" si="13"/>
        <v>1</v>
      </c>
      <c r="BY35" s="9">
        <f t="shared" si="14"/>
        <v>0</v>
      </c>
      <c r="BZ35" s="9">
        <f t="shared" si="15"/>
        <v>5</v>
      </c>
      <c r="CA35" s="9">
        <f t="shared" si="16"/>
        <v>5</v>
      </c>
      <c r="CB35" s="9">
        <f t="shared" si="17"/>
        <v>3</v>
      </c>
      <c r="CC35" s="9">
        <f t="shared" si="18"/>
        <v>5</v>
      </c>
      <c r="CD35" s="9">
        <f t="shared" si="6"/>
        <v>0</v>
      </c>
      <c r="CE35" s="21">
        <f t="shared" si="7"/>
        <v>1</v>
      </c>
      <c r="CF35" s="21">
        <f t="shared" si="8"/>
        <v>0</v>
      </c>
      <c r="CG35" s="21">
        <f t="shared" si="9"/>
        <v>5</v>
      </c>
      <c r="CH35" s="21">
        <f t="shared" si="10"/>
        <v>5</v>
      </c>
      <c r="CI35" s="21">
        <f t="shared" si="11"/>
        <v>5</v>
      </c>
      <c r="CJ35" s="21">
        <f t="shared" si="12"/>
        <v>3.2</v>
      </c>
    </row>
    <row r="36" spans="1:88">
      <c r="A36" s="9">
        <v>35</v>
      </c>
      <c r="B36" s="9" t="s">
        <v>90</v>
      </c>
      <c r="C36" s="9" t="s">
        <v>117</v>
      </c>
      <c r="D36" s="9" t="s">
        <v>97</v>
      </c>
      <c r="E36" s="9" t="s">
        <v>63</v>
      </c>
      <c r="H36" s="9" t="s">
        <v>69</v>
      </c>
      <c r="I36" s="9" t="s">
        <v>69</v>
      </c>
      <c r="J36" s="9" t="s">
        <v>65</v>
      </c>
      <c r="K36" s="9" t="s">
        <v>92</v>
      </c>
      <c r="L36" s="9" t="s">
        <v>70</v>
      </c>
      <c r="P36" s="10">
        <v>5</v>
      </c>
      <c r="Q36" s="10">
        <v>5</v>
      </c>
      <c r="R36" s="10">
        <v>5</v>
      </c>
      <c r="S36" s="10">
        <v>3.5</v>
      </c>
      <c r="T36" s="10">
        <v>5</v>
      </c>
      <c r="U36" s="10">
        <v>5</v>
      </c>
      <c r="V36" s="10">
        <v>4.75</v>
      </c>
      <c r="W36" s="11">
        <v>1</v>
      </c>
      <c r="X36" s="11">
        <v>1</v>
      </c>
      <c r="Y36" s="11">
        <v>1</v>
      </c>
      <c r="Z36" s="11">
        <v>1</v>
      </c>
      <c r="AA36" s="11">
        <v>1</v>
      </c>
      <c r="AB36" s="11">
        <v>1</v>
      </c>
      <c r="AC36" s="11">
        <v>1</v>
      </c>
      <c r="AD36" s="10"/>
      <c r="AE36" s="10"/>
      <c r="AF36" s="10"/>
      <c r="AG36" s="10"/>
      <c r="AH36" s="10"/>
      <c r="AI36" s="10"/>
      <c r="AJ36" s="10">
        <v>1</v>
      </c>
      <c r="AK36" s="10">
        <v>5</v>
      </c>
      <c r="AL36" s="10">
        <v>5</v>
      </c>
      <c r="AM36" s="10"/>
      <c r="AN36" s="10">
        <v>5</v>
      </c>
      <c r="AO36" s="10">
        <v>5</v>
      </c>
      <c r="AP36" s="10">
        <v>5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X36" s="9">
        <f t="shared" si="13"/>
        <v>1</v>
      </c>
      <c r="BY36" s="9">
        <f t="shared" si="14"/>
        <v>1</v>
      </c>
      <c r="BZ36" s="9">
        <f t="shared" si="15"/>
        <v>3.5</v>
      </c>
      <c r="CA36" s="9">
        <f t="shared" si="16"/>
        <v>5</v>
      </c>
      <c r="CB36" s="9">
        <f t="shared" si="17"/>
        <v>5</v>
      </c>
      <c r="CC36" s="9">
        <f t="shared" si="18"/>
        <v>5</v>
      </c>
      <c r="CD36" s="9">
        <f t="shared" si="6"/>
        <v>1</v>
      </c>
      <c r="CE36" s="21">
        <f t="shared" si="7"/>
        <v>1</v>
      </c>
      <c r="CF36" s="21">
        <f t="shared" si="8"/>
        <v>1</v>
      </c>
      <c r="CG36" s="21">
        <f t="shared" si="9"/>
        <v>4.75</v>
      </c>
      <c r="CH36" s="21">
        <f t="shared" si="10"/>
        <v>5</v>
      </c>
      <c r="CI36" s="21">
        <f t="shared" si="11"/>
        <v>5</v>
      </c>
      <c r="CJ36" s="21">
        <f t="shared" si="12"/>
        <v>3.35</v>
      </c>
    </row>
    <row r="37" spans="1:88">
      <c r="A37" s="9">
        <v>36</v>
      </c>
      <c r="B37" s="9" t="s">
        <v>60</v>
      </c>
      <c r="C37" s="9" t="s">
        <v>76</v>
      </c>
      <c r="D37" s="9" t="s">
        <v>72</v>
      </c>
      <c r="E37" s="9" t="s">
        <v>78</v>
      </c>
      <c r="F37" s="9" t="s">
        <v>78</v>
      </c>
      <c r="H37" s="9" t="s">
        <v>65</v>
      </c>
      <c r="I37" s="9" t="s">
        <v>65</v>
      </c>
      <c r="K37" s="9" t="s">
        <v>322</v>
      </c>
      <c r="N37" s="9" t="s">
        <v>70</v>
      </c>
      <c r="P37" s="10">
        <v>5</v>
      </c>
      <c r="Q37" s="10">
        <v>5</v>
      </c>
      <c r="R37" s="10">
        <v>5</v>
      </c>
      <c r="S37" s="10">
        <v>5</v>
      </c>
      <c r="T37" s="10">
        <v>5</v>
      </c>
      <c r="U37" s="10">
        <v>5</v>
      </c>
      <c r="V37" s="10">
        <v>5</v>
      </c>
      <c r="W37" s="11">
        <v>1.5</v>
      </c>
      <c r="X37" s="11">
        <v>5</v>
      </c>
      <c r="Y37" s="11">
        <v>5</v>
      </c>
      <c r="Z37" s="11">
        <v>5</v>
      </c>
      <c r="AA37" s="11">
        <v>5</v>
      </c>
      <c r="AB37" s="11">
        <v>5</v>
      </c>
      <c r="AC37" s="11">
        <v>4.416666666666667</v>
      </c>
      <c r="AD37" s="10"/>
      <c r="AE37" s="10"/>
      <c r="AF37" s="10"/>
      <c r="AG37" s="10"/>
      <c r="AH37" s="10"/>
      <c r="AI37" s="10"/>
      <c r="AJ37" s="10">
        <v>5</v>
      </c>
      <c r="AK37" s="10">
        <v>5</v>
      </c>
      <c r="AL37" s="10">
        <v>5</v>
      </c>
      <c r="AM37" s="10">
        <v>5</v>
      </c>
      <c r="AN37" s="10">
        <v>5</v>
      </c>
      <c r="AO37" s="10">
        <v>5</v>
      </c>
      <c r="AP37" s="10">
        <v>5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X37" s="9">
        <f t="shared" si="13"/>
        <v>1.5</v>
      </c>
      <c r="BY37" s="9">
        <f t="shared" si="14"/>
        <v>5</v>
      </c>
      <c r="BZ37" s="9">
        <f t="shared" si="15"/>
        <v>5</v>
      </c>
      <c r="CA37" s="9">
        <f t="shared" si="16"/>
        <v>5</v>
      </c>
      <c r="CB37" s="9">
        <f t="shared" si="17"/>
        <v>5</v>
      </c>
      <c r="CC37" s="9">
        <f t="shared" si="18"/>
        <v>5</v>
      </c>
      <c r="CD37" s="9">
        <f t="shared" si="6"/>
        <v>1.5</v>
      </c>
      <c r="CE37" s="21">
        <f t="shared" si="7"/>
        <v>4.416666666666667</v>
      </c>
      <c r="CF37" s="21">
        <f t="shared" si="8"/>
        <v>5</v>
      </c>
      <c r="CG37" s="21">
        <f t="shared" si="9"/>
        <v>5</v>
      </c>
      <c r="CH37" s="21">
        <f t="shared" si="10"/>
        <v>5</v>
      </c>
      <c r="CI37" s="21">
        <f t="shared" si="11"/>
        <v>5</v>
      </c>
      <c r="CJ37" s="21">
        <f t="shared" si="12"/>
        <v>4.8833333333333337</v>
      </c>
    </row>
    <row r="38" spans="1:88">
      <c r="A38" s="9">
        <v>37</v>
      </c>
      <c r="B38" s="9" t="s">
        <v>114</v>
      </c>
      <c r="C38" s="9" t="s">
        <v>115</v>
      </c>
      <c r="D38" s="9" t="s">
        <v>72</v>
      </c>
      <c r="E38" s="9" t="s">
        <v>74</v>
      </c>
      <c r="H38" s="9" t="s">
        <v>65</v>
      </c>
      <c r="I38" s="9" t="s">
        <v>65</v>
      </c>
      <c r="J38" s="9" t="s">
        <v>65</v>
      </c>
      <c r="K38" s="9" t="s">
        <v>92</v>
      </c>
      <c r="L38" s="9" t="s">
        <v>70</v>
      </c>
      <c r="P38" s="10">
        <v>5</v>
      </c>
      <c r="Q38" s="10">
        <v>5</v>
      </c>
      <c r="R38" s="10">
        <v>5</v>
      </c>
      <c r="S38" s="10">
        <v>5</v>
      </c>
      <c r="T38" s="10">
        <v>5</v>
      </c>
      <c r="U38" s="10">
        <v>5</v>
      </c>
      <c r="V38" s="10">
        <v>5</v>
      </c>
      <c r="W38" s="11">
        <v>2</v>
      </c>
      <c r="X38" s="11">
        <v>1</v>
      </c>
      <c r="Y38" s="11">
        <v>1</v>
      </c>
      <c r="Z38" s="11">
        <v>1</v>
      </c>
      <c r="AA38" s="11">
        <v>1</v>
      </c>
      <c r="AB38" s="11">
        <v>1</v>
      </c>
      <c r="AC38" s="11">
        <v>1.1666666666666667</v>
      </c>
      <c r="AD38" s="10"/>
      <c r="AE38" s="10"/>
      <c r="AF38" s="10"/>
      <c r="AG38" s="10"/>
      <c r="AH38" s="10"/>
      <c r="AI38" s="10"/>
      <c r="AJ38" s="10"/>
      <c r="AK38" s="10">
        <v>5</v>
      </c>
      <c r="AL38" s="10">
        <v>5</v>
      </c>
      <c r="AM38" s="10"/>
      <c r="AN38" s="10">
        <v>5</v>
      </c>
      <c r="AO38" s="10">
        <v>5</v>
      </c>
      <c r="AP38" s="10">
        <v>5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X38" s="9">
        <f t="shared" si="13"/>
        <v>1</v>
      </c>
      <c r="BY38" s="9">
        <f t="shared" si="14"/>
        <v>0</v>
      </c>
      <c r="BZ38" s="9">
        <f t="shared" si="15"/>
        <v>5</v>
      </c>
      <c r="CA38" s="9">
        <f t="shared" si="16"/>
        <v>5</v>
      </c>
      <c r="CB38" s="9">
        <f t="shared" si="17"/>
        <v>5</v>
      </c>
      <c r="CC38" s="9">
        <f t="shared" si="18"/>
        <v>5</v>
      </c>
      <c r="CD38" s="9">
        <f t="shared" si="6"/>
        <v>0</v>
      </c>
      <c r="CE38" s="21">
        <f t="shared" si="7"/>
        <v>1.1666666666666667</v>
      </c>
      <c r="CF38" s="21">
        <f t="shared" si="8"/>
        <v>0</v>
      </c>
      <c r="CG38" s="21">
        <f t="shared" si="9"/>
        <v>5</v>
      </c>
      <c r="CH38" s="21">
        <f t="shared" si="10"/>
        <v>5</v>
      </c>
      <c r="CI38" s="21">
        <f t="shared" si="11"/>
        <v>5</v>
      </c>
      <c r="CJ38" s="21">
        <f t="shared" si="12"/>
        <v>3.2333333333333334</v>
      </c>
    </row>
    <row r="39" spans="1:88">
      <c r="A39" s="9">
        <v>38</v>
      </c>
      <c r="B39" s="9" t="s">
        <v>60</v>
      </c>
      <c r="C39" s="9" t="s">
        <v>118</v>
      </c>
      <c r="D39" s="9" t="s">
        <v>72</v>
      </c>
      <c r="E39" s="9" t="s">
        <v>63</v>
      </c>
      <c r="F39" s="9" t="s">
        <v>78</v>
      </c>
      <c r="H39" s="9" t="s">
        <v>69</v>
      </c>
      <c r="I39" s="9" t="s">
        <v>69</v>
      </c>
      <c r="K39" s="9" t="s">
        <v>322</v>
      </c>
      <c r="N39" s="9" t="s">
        <v>70</v>
      </c>
      <c r="P39" s="10">
        <v>5</v>
      </c>
      <c r="Q39" s="10">
        <v>5</v>
      </c>
      <c r="R39" s="10">
        <v>5</v>
      </c>
      <c r="S39" s="10">
        <v>5</v>
      </c>
      <c r="T39" s="10">
        <v>5</v>
      </c>
      <c r="U39" s="10">
        <v>5</v>
      </c>
      <c r="V39" s="10">
        <v>5</v>
      </c>
      <c r="W39" s="11">
        <v>1</v>
      </c>
      <c r="X39" s="11">
        <v>1</v>
      </c>
      <c r="Y39" s="11">
        <v>1</v>
      </c>
      <c r="Z39" s="11">
        <v>1</v>
      </c>
      <c r="AA39" s="11">
        <v>1</v>
      </c>
      <c r="AB39" s="11">
        <v>1</v>
      </c>
      <c r="AC39" s="11">
        <v>1</v>
      </c>
      <c r="AD39" s="10"/>
      <c r="AE39" s="10"/>
      <c r="AF39" s="10"/>
      <c r="AG39" s="10"/>
      <c r="AH39" s="10"/>
      <c r="AI39" s="10"/>
      <c r="AJ39" s="10">
        <v>1</v>
      </c>
      <c r="AK39" s="10">
        <v>5</v>
      </c>
      <c r="AL39" s="10">
        <v>5</v>
      </c>
      <c r="AM39" s="10">
        <v>5</v>
      </c>
      <c r="AN39" s="10">
        <v>5</v>
      </c>
      <c r="AO39" s="10">
        <v>5</v>
      </c>
      <c r="AP39" s="10">
        <v>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X39" s="9">
        <f t="shared" si="13"/>
        <v>1</v>
      </c>
      <c r="BY39" s="9">
        <f t="shared" si="14"/>
        <v>1</v>
      </c>
      <c r="BZ39" s="9">
        <f t="shared" si="15"/>
        <v>5</v>
      </c>
      <c r="CA39" s="9">
        <f t="shared" si="16"/>
        <v>5</v>
      </c>
      <c r="CB39" s="9">
        <f t="shared" si="17"/>
        <v>5</v>
      </c>
      <c r="CC39" s="9">
        <f t="shared" si="18"/>
        <v>5</v>
      </c>
      <c r="CD39" s="9">
        <f t="shared" si="6"/>
        <v>1</v>
      </c>
      <c r="CE39" s="21">
        <f t="shared" si="7"/>
        <v>1</v>
      </c>
      <c r="CF39" s="21">
        <f t="shared" si="8"/>
        <v>1</v>
      </c>
      <c r="CG39" s="21">
        <f t="shared" si="9"/>
        <v>5</v>
      </c>
      <c r="CH39" s="21">
        <f t="shared" si="10"/>
        <v>5</v>
      </c>
      <c r="CI39" s="21">
        <f t="shared" si="11"/>
        <v>5</v>
      </c>
      <c r="CJ39" s="21">
        <f t="shared" si="12"/>
        <v>3.4</v>
      </c>
    </row>
    <row r="40" spans="1:88">
      <c r="A40" s="9">
        <v>39</v>
      </c>
      <c r="B40" s="9" t="s">
        <v>119</v>
      </c>
      <c r="C40" s="9" t="s">
        <v>120</v>
      </c>
      <c r="D40" s="9" t="s">
        <v>75</v>
      </c>
      <c r="E40" s="9" t="s">
        <v>63</v>
      </c>
      <c r="F40" s="9" t="s">
        <v>78</v>
      </c>
      <c r="H40" s="9" t="s">
        <v>65</v>
      </c>
      <c r="I40" s="9" t="s">
        <v>83</v>
      </c>
      <c r="J40" s="9" t="s">
        <v>65</v>
      </c>
      <c r="K40" s="9" t="s">
        <v>323</v>
      </c>
      <c r="N40" s="9" t="s">
        <v>70</v>
      </c>
      <c r="P40" s="10">
        <v>3</v>
      </c>
      <c r="Q40" s="10">
        <v>2</v>
      </c>
      <c r="R40" s="10">
        <v>2</v>
      </c>
      <c r="S40" s="10">
        <v>2</v>
      </c>
      <c r="T40" s="10">
        <v>2</v>
      </c>
      <c r="U40" s="10">
        <v>2</v>
      </c>
      <c r="V40" s="10">
        <v>2.1666666666666665</v>
      </c>
      <c r="W40" s="11">
        <v>5</v>
      </c>
      <c r="X40" s="11">
        <v>5</v>
      </c>
      <c r="Y40" s="11">
        <v>5</v>
      </c>
      <c r="Z40" s="11">
        <v>5</v>
      </c>
      <c r="AA40" s="11">
        <v>5</v>
      </c>
      <c r="AB40" s="11">
        <v>5</v>
      </c>
      <c r="AC40" s="11">
        <v>5</v>
      </c>
      <c r="AD40" s="10"/>
      <c r="AE40" s="10"/>
      <c r="AF40" s="10"/>
      <c r="AG40" s="10"/>
      <c r="AH40" s="10"/>
      <c r="AI40" s="10"/>
      <c r="AJ40" s="10">
        <v>3</v>
      </c>
      <c r="AK40" s="10">
        <v>5</v>
      </c>
      <c r="AL40" s="10">
        <v>5</v>
      </c>
      <c r="AM40" s="10">
        <v>5</v>
      </c>
      <c r="AN40" s="10">
        <v>5</v>
      </c>
      <c r="AO40" s="10">
        <v>5</v>
      </c>
      <c r="AP40" s="10">
        <v>5</v>
      </c>
      <c r="AQ40" s="12">
        <v>3</v>
      </c>
      <c r="AR40" s="12">
        <v>3</v>
      </c>
      <c r="AS40" s="12">
        <v>3</v>
      </c>
      <c r="AT40" s="12">
        <v>3</v>
      </c>
      <c r="AU40" s="12">
        <v>2.5</v>
      </c>
      <c r="AV40" s="12">
        <v>2.9</v>
      </c>
      <c r="AW40" s="12">
        <v>2</v>
      </c>
      <c r="AX40" s="12">
        <v>3</v>
      </c>
      <c r="AY40" s="12">
        <v>3</v>
      </c>
      <c r="AZ40" s="12">
        <v>3</v>
      </c>
      <c r="BA40" s="12">
        <v>3</v>
      </c>
      <c r="BB40" s="13">
        <v>19</v>
      </c>
      <c r="BC40" s="13">
        <v>1369</v>
      </c>
      <c r="BD40" s="13">
        <v>279</v>
      </c>
      <c r="BE40" s="13">
        <v>0.26</v>
      </c>
      <c r="BF40" s="13" t="s">
        <v>209</v>
      </c>
      <c r="BG40" s="13" t="s">
        <v>326</v>
      </c>
      <c r="BH40" s="13" t="s">
        <v>330</v>
      </c>
      <c r="BI40" s="13" t="s">
        <v>325</v>
      </c>
      <c r="BX40" s="9">
        <f t="shared" si="13"/>
        <v>5</v>
      </c>
      <c r="BY40" s="9">
        <f t="shared" si="14"/>
        <v>3</v>
      </c>
      <c r="BZ40" s="9">
        <f t="shared" si="15"/>
        <v>2</v>
      </c>
      <c r="CA40" s="9">
        <f t="shared" si="16"/>
        <v>5</v>
      </c>
      <c r="CB40" s="9">
        <f t="shared" si="17"/>
        <v>5</v>
      </c>
      <c r="CC40" s="9">
        <f t="shared" si="18"/>
        <v>5</v>
      </c>
      <c r="CD40" s="9">
        <f t="shared" si="6"/>
        <v>2</v>
      </c>
      <c r="CE40" s="21">
        <f t="shared" si="7"/>
        <v>5</v>
      </c>
      <c r="CF40" s="21">
        <f t="shared" si="8"/>
        <v>3</v>
      </c>
      <c r="CG40" s="21">
        <f t="shared" si="9"/>
        <v>2.1666666666666665</v>
      </c>
      <c r="CH40" s="21">
        <f t="shared" si="10"/>
        <v>5</v>
      </c>
      <c r="CI40" s="21">
        <f t="shared" si="11"/>
        <v>5</v>
      </c>
      <c r="CJ40" s="21">
        <f t="shared" si="12"/>
        <v>4.0333333333333332</v>
      </c>
    </row>
    <row r="41" spans="1:88">
      <c r="A41" s="9">
        <v>40</v>
      </c>
      <c r="B41" s="9" t="s">
        <v>119</v>
      </c>
      <c r="C41" s="9" t="s">
        <v>120</v>
      </c>
      <c r="D41" s="9" t="s">
        <v>75</v>
      </c>
      <c r="E41" s="9" t="s">
        <v>63</v>
      </c>
      <c r="F41" s="9" t="s">
        <v>78</v>
      </c>
      <c r="H41" s="9" t="s">
        <v>65</v>
      </c>
      <c r="I41" s="9" t="s">
        <v>83</v>
      </c>
      <c r="J41" s="9" t="s">
        <v>65</v>
      </c>
      <c r="K41" s="9" t="s">
        <v>323</v>
      </c>
      <c r="N41" s="9" t="s">
        <v>70</v>
      </c>
      <c r="P41" s="10">
        <v>2</v>
      </c>
      <c r="Q41" s="10">
        <v>2</v>
      </c>
      <c r="R41" s="10">
        <v>2</v>
      </c>
      <c r="S41" s="10">
        <v>2</v>
      </c>
      <c r="T41" s="10">
        <v>2</v>
      </c>
      <c r="U41" s="10">
        <v>2</v>
      </c>
      <c r="V41" s="10">
        <v>2</v>
      </c>
      <c r="W41" s="11">
        <v>4.5</v>
      </c>
      <c r="X41" s="11">
        <v>5</v>
      </c>
      <c r="Y41" s="11">
        <v>5</v>
      </c>
      <c r="Z41" s="11">
        <v>5</v>
      </c>
      <c r="AA41" s="11">
        <v>3.5</v>
      </c>
      <c r="AB41" s="11">
        <v>2</v>
      </c>
      <c r="AC41" s="11">
        <v>4.166666666666667</v>
      </c>
      <c r="AD41" s="10"/>
      <c r="AE41" s="10"/>
      <c r="AF41" s="10"/>
      <c r="AG41" s="10"/>
      <c r="AH41" s="10"/>
      <c r="AI41" s="10"/>
      <c r="AJ41" s="10">
        <v>5</v>
      </c>
      <c r="AK41" s="10">
        <v>5</v>
      </c>
      <c r="AL41" s="10">
        <v>5</v>
      </c>
      <c r="AM41" s="10">
        <v>5</v>
      </c>
      <c r="AN41" s="10">
        <v>5</v>
      </c>
      <c r="AO41" s="10">
        <v>5</v>
      </c>
      <c r="AP41" s="10">
        <v>5</v>
      </c>
      <c r="AQ41" s="12">
        <v>1</v>
      </c>
      <c r="AR41" s="12">
        <v>3</v>
      </c>
      <c r="AS41" s="12">
        <v>1</v>
      </c>
      <c r="AT41" s="12">
        <v>2</v>
      </c>
      <c r="AU41" s="12">
        <v>2.5</v>
      </c>
      <c r="AV41" s="12">
        <v>1.9</v>
      </c>
      <c r="AW41" s="12">
        <v>1</v>
      </c>
      <c r="AX41" s="12">
        <v>1</v>
      </c>
      <c r="AY41" s="12">
        <v>2</v>
      </c>
      <c r="AZ41" s="12">
        <v>2</v>
      </c>
      <c r="BA41" s="12">
        <v>2</v>
      </c>
      <c r="BB41" s="13">
        <v>185</v>
      </c>
      <c r="BC41" s="13">
        <v>1786</v>
      </c>
      <c r="BD41" s="13">
        <v>71</v>
      </c>
      <c r="BE41" s="13">
        <v>0.65</v>
      </c>
      <c r="BX41" s="9">
        <f t="shared" si="13"/>
        <v>2</v>
      </c>
      <c r="BY41" s="9">
        <f t="shared" si="14"/>
        <v>5</v>
      </c>
      <c r="BZ41" s="9">
        <f t="shared" si="15"/>
        <v>2</v>
      </c>
      <c r="CA41" s="9">
        <f t="shared" si="16"/>
        <v>5</v>
      </c>
      <c r="CB41" s="9">
        <f t="shared" si="17"/>
        <v>5</v>
      </c>
      <c r="CC41" s="9">
        <f t="shared" si="18"/>
        <v>5</v>
      </c>
      <c r="CD41" s="9">
        <f t="shared" si="6"/>
        <v>2</v>
      </c>
      <c r="CE41" s="21">
        <f t="shared" si="7"/>
        <v>4.166666666666667</v>
      </c>
      <c r="CF41" s="21">
        <f t="shared" si="8"/>
        <v>5</v>
      </c>
      <c r="CG41" s="21">
        <f t="shared" si="9"/>
        <v>2</v>
      </c>
      <c r="CH41" s="21">
        <f t="shared" si="10"/>
        <v>5</v>
      </c>
      <c r="CI41" s="21">
        <f t="shared" si="11"/>
        <v>5</v>
      </c>
      <c r="CJ41" s="21">
        <f t="shared" si="12"/>
        <v>4.2333333333333334</v>
      </c>
    </row>
    <row r="42" spans="1:88">
      <c r="A42" s="9">
        <v>41</v>
      </c>
      <c r="B42" s="9" t="s">
        <v>119</v>
      </c>
      <c r="C42" s="9" t="s">
        <v>120</v>
      </c>
      <c r="D42" s="9" t="s">
        <v>75</v>
      </c>
      <c r="E42" s="9" t="s">
        <v>105</v>
      </c>
      <c r="F42" s="9" t="s">
        <v>78</v>
      </c>
      <c r="H42" s="9" t="s">
        <v>65</v>
      </c>
      <c r="I42" s="9" t="s">
        <v>83</v>
      </c>
      <c r="J42" s="9" t="s">
        <v>65</v>
      </c>
      <c r="K42" s="9" t="s">
        <v>323</v>
      </c>
      <c r="N42" s="9" t="s">
        <v>70</v>
      </c>
      <c r="P42" s="10">
        <v>3</v>
      </c>
      <c r="Q42" s="10">
        <v>3</v>
      </c>
      <c r="R42" s="10">
        <v>3</v>
      </c>
      <c r="S42" s="10">
        <v>3</v>
      </c>
      <c r="T42" s="10">
        <v>3</v>
      </c>
      <c r="U42" s="10">
        <v>3</v>
      </c>
      <c r="V42" s="10">
        <v>3</v>
      </c>
      <c r="W42" s="11">
        <v>4.5</v>
      </c>
      <c r="X42" s="11">
        <v>5</v>
      </c>
      <c r="Y42" s="11">
        <v>5</v>
      </c>
      <c r="Z42" s="11">
        <v>5</v>
      </c>
      <c r="AA42" s="11">
        <v>5</v>
      </c>
      <c r="AB42" s="11">
        <v>5</v>
      </c>
      <c r="AC42" s="11">
        <v>4.916666666666667</v>
      </c>
      <c r="AD42" s="10"/>
      <c r="AE42" s="10"/>
      <c r="AF42" s="10"/>
      <c r="AG42" s="10"/>
      <c r="AH42" s="10"/>
      <c r="AI42" s="10"/>
      <c r="AJ42" s="10">
        <v>2</v>
      </c>
      <c r="AK42" s="10">
        <v>5</v>
      </c>
      <c r="AL42" s="10">
        <v>5</v>
      </c>
      <c r="AM42" s="10">
        <v>5</v>
      </c>
      <c r="AN42" s="10">
        <v>5</v>
      </c>
      <c r="AO42" s="10">
        <v>5</v>
      </c>
      <c r="AP42" s="10">
        <v>5</v>
      </c>
      <c r="AQ42" s="12">
        <v>2</v>
      </c>
      <c r="AR42" s="12">
        <v>2</v>
      </c>
      <c r="AS42" s="12">
        <v>2</v>
      </c>
      <c r="AT42" s="12">
        <v>3</v>
      </c>
      <c r="AU42" s="12">
        <v>2.5</v>
      </c>
      <c r="AV42" s="12">
        <v>2.2999999999999998</v>
      </c>
      <c r="AW42" s="12">
        <v>2</v>
      </c>
      <c r="AX42" s="12">
        <v>3</v>
      </c>
      <c r="AY42" s="12">
        <v>2</v>
      </c>
      <c r="AZ42" s="12">
        <v>2</v>
      </c>
      <c r="BA42" s="12">
        <v>1</v>
      </c>
      <c r="BB42" s="13">
        <v>1128</v>
      </c>
      <c r="BC42" s="13">
        <v>1785</v>
      </c>
      <c r="BD42" s="13">
        <v>657</v>
      </c>
      <c r="BE42" s="13">
        <v>0.57999999999999996</v>
      </c>
      <c r="BF42" s="13" t="s">
        <v>331</v>
      </c>
      <c r="BG42" s="13" t="s">
        <v>324</v>
      </c>
      <c r="BH42" s="13" t="s">
        <v>330</v>
      </c>
      <c r="BI42" s="13" t="s">
        <v>325</v>
      </c>
      <c r="BX42" s="9">
        <f t="shared" si="13"/>
        <v>4.5</v>
      </c>
      <c r="BY42" s="9">
        <f t="shared" si="14"/>
        <v>2</v>
      </c>
      <c r="BZ42" s="9">
        <f t="shared" si="15"/>
        <v>3</v>
      </c>
      <c r="CA42" s="9">
        <f t="shared" si="16"/>
        <v>5</v>
      </c>
      <c r="CB42" s="9">
        <f t="shared" si="17"/>
        <v>5</v>
      </c>
      <c r="CC42" s="9">
        <f t="shared" si="18"/>
        <v>5</v>
      </c>
      <c r="CD42" s="9">
        <f t="shared" si="6"/>
        <v>2</v>
      </c>
      <c r="CE42" s="21">
        <f t="shared" si="7"/>
        <v>4.916666666666667</v>
      </c>
      <c r="CF42" s="21">
        <f t="shared" si="8"/>
        <v>2</v>
      </c>
      <c r="CG42" s="21">
        <f t="shared" si="9"/>
        <v>3</v>
      </c>
      <c r="CH42" s="21">
        <f t="shared" si="10"/>
        <v>5</v>
      </c>
      <c r="CI42" s="21">
        <f t="shared" si="11"/>
        <v>5</v>
      </c>
      <c r="CJ42" s="21">
        <f t="shared" si="12"/>
        <v>3.9833333333333334</v>
      </c>
    </row>
    <row r="43" spans="1:88">
      <c r="A43" s="9">
        <v>42</v>
      </c>
      <c r="B43" s="9" t="s">
        <v>119</v>
      </c>
      <c r="C43" s="9" t="s">
        <v>120</v>
      </c>
      <c r="D43" s="9" t="s">
        <v>73</v>
      </c>
      <c r="E43" s="9" t="s">
        <v>113</v>
      </c>
      <c r="F43" s="9" t="s">
        <v>78</v>
      </c>
      <c r="H43" s="9" t="s">
        <v>65</v>
      </c>
      <c r="I43" s="9" t="s">
        <v>83</v>
      </c>
      <c r="J43" s="9" t="s">
        <v>65</v>
      </c>
      <c r="K43" s="9" t="s">
        <v>323</v>
      </c>
      <c r="N43" s="9" t="s">
        <v>70</v>
      </c>
      <c r="P43" s="10">
        <v>3</v>
      </c>
      <c r="Q43" s="10">
        <v>2</v>
      </c>
      <c r="R43" s="10">
        <v>1</v>
      </c>
      <c r="S43" s="10">
        <v>1.5</v>
      </c>
      <c r="T43" s="10">
        <v>1</v>
      </c>
      <c r="U43" s="10">
        <v>1</v>
      </c>
      <c r="V43" s="10">
        <v>1.5833333333333333</v>
      </c>
      <c r="W43" s="11">
        <v>4</v>
      </c>
      <c r="X43" s="11">
        <v>5</v>
      </c>
      <c r="Y43" s="11">
        <v>3</v>
      </c>
      <c r="Z43" s="11">
        <v>5</v>
      </c>
      <c r="AA43" s="11">
        <v>5</v>
      </c>
      <c r="AB43" s="11">
        <v>5</v>
      </c>
      <c r="AC43" s="11">
        <v>4.5</v>
      </c>
      <c r="AD43" s="10"/>
      <c r="AE43" s="10"/>
      <c r="AF43" s="10"/>
      <c r="AG43" s="10"/>
      <c r="AH43" s="10"/>
      <c r="AI43" s="10"/>
      <c r="AJ43" s="10">
        <v>4</v>
      </c>
      <c r="AK43" s="10">
        <v>5</v>
      </c>
      <c r="AL43" s="10">
        <v>5</v>
      </c>
      <c r="AM43" s="10">
        <v>5</v>
      </c>
      <c r="AN43" s="10">
        <v>5</v>
      </c>
      <c r="AO43" s="10">
        <v>5</v>
      </c>
      <c r="AP43" s="10">
        <v>5</v>
      </c>
      <c r="AQ43" s="12">
        <v>3</v>
      </c>
      <c r="AR43" s="12">
        <v>3</v>
      </c>
      <c r="AS43" s="12">
        <v>3</v>
      </c>
      <c r="AT43" s="12">
        <v>1</v>
      </c>
      <c r="AU43" s="12">
        <v>2.5</v>
      </c>
      <c r="AV43" s="12">
        <v>2.5</v>
      </c>
      <c r="AW43" s="12">
        <v>1</v>
      </c>
      <c r="AX43" s="12">
        <v>3</v>
      </c>
      <c r="AY43" s="12">
        <v>1</v>
      </c>
      <c r="AZ43" s="12">
        <v>3</v>
      </c>
      <c r="BA43" s="12">
        <v>2</v>
      </c>
      <c r="BB43" s="13">
        <v>121</v>
      </c>
      <c r="BC43" s="13">
        <v>1814</v>
      </c>
      <c r="BD43" s="13">
        <v>613</v>
      </c>
      <c r="BE43" s="13">
        <v>0.51</v>
      </c>
      <c r="BF43" s="13" t="s">
        <v>217</v>
      </c>
      <c r="BG43" s="13" t="s">
        <v>324</v>
      </c>
      <c r="BI43" s="13" t="s">
        <v>325</v>
      </c>
      <c r="BX43" s="9">
        <f t="shared" si="13"/>
        <v>3</v>
      </c>
      <c r="BY43" s="9">
        <f t="shared" si="14"/>
        <v>4</v>
      </c>
      <c r="BZ43" s="9">
        <f t="shared" si="15"/>
        <v>1</v>
      </c>
      <c r="CA43" s="9">
        <f t="shared" si="16"/>
        <v>5</v>
      </c>
      <c r="CB43" s="9">
        <f t="shared" si="17"/>
        <v>5</v>
      </c>
      <c r="CC43" s="9">
        <f t="shared" si="18"/>
        <v>5</v>
      </c>
      <c r="CD43" s="9">
        <f t="shared" si="6"/>
        <v>1</v>
      </c>
      <c r="CE43" s="21">
        <f t="shared" si="7"/>
        <v>4.5</v>
      </c>
      <c r="CF43" s="21">
        <f t="shared" si="8"/>
        <v>4</v>
      </c>
      <c r="CG43" s="21">
        <f t="shared" si="9"/>
        <v>1.5833333333333333</v>
      </c>
      <c r="CH43" s="21">
        <f t="shared" si="10"/>
        <v>5</v>
      </c>
      <c r="CI43" s="21">
        <f t="shared" si="11"/>
        <v>5</v>
      </c>
      <c r="CJ43" s="21">
        <f t="shared" si="12"/>
        <v>4.0166666666666675</v>
      </c>
    </row>
    <row r="44" spans="1:88">
      <c r="A44" s="9">
        <v>43</v>
      </c>
      <c r="B44" s="9" t="s">
        <v>99</v>
      </c>
      <c r="C44" s="9" t="s">
        <v>98</v>
      </c>
      <c r="D44" s="9" t="s">
        <v>72</v>
      </c>
      <c r="E44" s="9" t="s">
        <v>78</v>
      </c>
      <c r="F44" s="9" t="s">
        <v>64</v>
      </c>
      <c r="H44" s="9" t="s">
        <v>65</v>
      </c>
      <c r="I44" s="9" t="s">
        <v>87</v>
      </c>
      <c r="J44" s="9" t="s">
        <v>65</v>
      </c>
      <c r="K44" s="9" t="s">
        <v>323</v>
      </c>
      <c r="O44" s="9" t="s">
        <v>70</v>
      </c>
      <c r="P44" s="10">
        <v>4.5</v>
      </c>
      <c r="Q44" s="10">
        <v>4</v>
      </c>
      <c r="R44" s="10">
        <v>3</v>
      </c>
      <c r="S44" s="10">
        <v>4.5</v>
      </c>
      <c r="T44" s="10">
        <v>3.5</v>
      </c>
      <c r="U44" s="10">
        <v>3</v>
      </c>
      <c r="V44" s="10">
        <v>3.75</v>
      </c>
      <c r="W44" s="11">
        <v>3.5</v>
      </c>
      <c r="X44" s="11">
        <v>4</v>
      </c>
      <c r="Y44" s="11">
        <v>3</v>
      </c>
      <c r="Z44" s="11">
        <v>5</v>
      </c>
      <c r="AA44" s="11">
        <v>3.5</v>
      </c>
      <c r="AB44" s="11">
        <v>4</v>
      </c>
      <c r="AC44" s="11">
        <v>3.8333333333333335</v>
      </c>
      <c r="AD44" s="10"/>
      <c r="AE44" s="10"/>
      <c r="AF44" s="10"/>
      <c r="AG44" s="10"/>
      <c r="AH44" s="10"/>
      <c r="AI44" s="10"/>
      <c r="AJ44" s="10">
        <v>3</v>
      </c>
      <c r="AK44" s="10">
        <v>4</v>
      </c>
      <c r="AL44" s="10">
        <v>5</v>
      </c>
      <c r="AM44" s="10">
        <v>5</v>
      </c>
      <c r="AN44" s="10">
        <v>4.666666666666667</v>
      </c>
      <c r="AO44" s="10">
        <v>3</v>
      </c>
      <c r="AP44" s="10">
        <v>4.666666666666667</v>
      </c>
      <c r="AQ44" s="12">
        <v>3</v>
      </c>
      <c r="AR44" s="12">
        <v>2</v>
      </c>
      <c r="AS44" s="12">
        <v>3</v>
      </c>
      <c r="AT44" s="12">
        <v>3</v>
      </c>
      <c r="AU44" s="12">
        <v>2</v>
      </c>
      <c r="AV44" s="12">
        <v>2.6</v>
      </c>
      <c r="AW44" s="12">
        <v>3</v>
      </c>
      <c r="AX44" s="12">
        <v>1</v>
      </c>
      <c r="AY44" s="12">
        <v>3</v>
      </c>
      <c r="AZ44" s="12">
        <v>2</v>
      </c>
      <c r="BA44" s="12">
        <v>3</v>
      </c>
      <c r="BB44" s="13">
        <v>541</v>
      </c>
      <c r="BC44" s="13">
        <v>85</v>
      </c>
      <c r="BD44" s="13">
        <v>39</v>
      </c>
      <c r="BE44" s="13">
        <v>0.56999999999999995</v>
      </c>
      <c r="BF44" s="13" t="s">
        <v>209</v>
      </c>
      <c r="BG44" s="13" t="s">
        <v>326</v>
      </c>
      <c r="BH44" s="13" t="s">
        <v>327</v>
      </c>
      <c r="BI44" s="13" t="s">
        <v>325</v>
      </c>
      <c r="BX44" s="9">
        <f t="shared" si="13"/>
        <v>3</v>
      </c>
      <c r="BY44" s="9">
        <f t="shared" si="14"/>
        <v>3</v>
      </c>
      <c r="BZ44" s="9">
        <f t="shared" si="15"/>
        <v>3</v>
      </c>
      <c r="CA44" s="9">
        <f t="shared" si="16"/>
        <v>4</v>
      </c>
      <c r="CB44" s="9">
        <f t="shared" si="17"/>
        <v>3</v>
      </c>
      <c r="CC44" s="9">
        <f t="shared" si="18"/>
        <v>4.666666666666667</v>
      </c>
      <c r="CD44" s="9">
        <f t="shared" si="6"/>
        <v>3</v>
      </c>
      <c r="CE44" s="21">
        <f t="shared" si="7"/>
        <v>3.8333333333333335</v>
      </c>
      <c r="CF44" s="21">
        <f t="shared" si="8"/>
        <v>3</v>
      </c>
      <c r="CG44" s="21">
        <f t="shared" si="9"/>
        <v>3.75</v>
      </c>
      <c r="CH44" s="21">
        <f t="shared" si="10"/>
        <v>4.666666666666667</v>
      </c>
      <c r="CI44" s="21">
        <f t="shared" si="11"/>
        <v>4.666666666666667</v>
      </c>
      <c r="CJ44" s="21">
        <f t="shared" si="12"/>
        <v>3.9833333333333334</v>
      </c>
    </row>
    <row r="45" spans="1:88">
      <c r="A45" s="9">
        <v>44</v>
      </c>
      <c r="B45" s="9" t="s">
        <v>99</v>
      </c>
      <c r="C45" s="9" t="s">
        <v>98</v>
      </c>
      <c r="D45" s="9" t="s">
        <v>75</v>
      </c>
      <c r="E45" s="9" t="s">
        <v>63</v>
      </c>
      <c r="F45" s="9" t="s">
        <v>78</v>
      </c>
      <c r="H45" s="9" t="s">
        <v>65</v>
      </c>
      <c r="I45" s="9" t="s">
        <v>87</v>
      </c>
      <c r="J45" s="9" t="s">
        <v>65</v>
      </c>
      <c r="K45" s="9" t="s">
        <v>323</v>
      </c>
      <c r="N45" s="9" t="s">
        <v>70</v>
      </c>
      <c r="O45" s="9" t="s">
        <v>70</v>
      </c>
      <c r="P45" s="10">
        <v>3</v>
      </c>
      <c r="Q45" s="10">
        <v>3</v>
      </c>
      <c r="R45" s="10">
        <v>1</v>
      </c>
      <c r="S45" s="10">
        <v>3</v>
      </c>
      <c r="T45" s="10">
        <v>3</v>
      </c>
      <c r="U45" s="10">
        <v>3</v>
      </c>
      <c r="V45" s="10">
        <v>2.6666666666666665</v>
      </c>
      <c r="W45" s="11">
        <v>2</v>
      </c>
      <c r="X45" s="11">
        <v>3</v>
      </c>
      <c r="Y45" s="11">
        <v>2</v>
      </c>
      <c r="Z45" s="11">
        <v>3.5</v>
      </c>
      <c r="AA45" s="11">
        <v>3.5</v>
      </c>
      <c r="AB45" s="11">
        <v>4</v>
      </c>
      <c r="AC45" s="11">
        <v>3</v>
      </c>
      <c r="AD45" s="10"/>
      <c r="AE45" s="10"/>
      <c r="AF45" s="10"/>
      <c r="AG45" s="10"/>
      <c r="AH45" s="10"/>
      <c r="AI45" s="10"/>
      <c r="AJ45" s="10">
        <v>3</v>
      </c>
      <c r="AK45" s="10">
        <v>5</v>
      </c>
      <c r="AL45" s="10">
        <v>5</v>
      </c>
      <c r="AM45" s="10">
        <v>5</v>
      </c>
      <c r="AN45" s="10">
        <v>5</v>
      </c>
      <c r="AO45" s="10">
        <v>3</v>
      </c>
      <c r="AP45" s="10">
        <v>5</v>
      </c>
      <c r="AQ45" s="12">
        <v>3</v>
      </c>
      <c r="AR45" s="12">
        <v>1</v>
      </c>
      <c r="AS45" s="12">
        <v>3</v>
      </c>
      <c r="AT45" s="12">
        <v>3</v>
      </c>
      <c r="AU45" s="12">
        <v>2</v>
      </c>
      <c r="AV45" s="12">
        <v>2.4</v>
      </c>
      <c r="AW45" s="12">
        <v>3</v>
      </c>
      <c r="AX45" s="12">
        <v>2</v>
      </c>
      <c r="AY45" s="12">
        <v>2</v>
      </c>
      <c r="AZ45" s="12">
        <v>3</v>
      </c>
      <c r="BA45" s="12">
        <v>3</v>
      </c>
      <c r="BB45" s="13">
        <v>714</v>
      </c>
      <c r="BC45" s="13">
        <v>15</v>
      </c>
      <c r="BD45" s="13">
        <v>336</v>
      </c>
      <c r="BE45" s="13">
        <v>0.47</v>
      </c>
      <c r="BF45" s="13" t="s">
        <v>209</v>
      </c>
      <c r="BG45" s="13" t="s">
        <v>326</v>
      </c>
      <c r="BH45" s="13" t="s">
        <v>330</v>
      </c>
      <c r="BI45" s="13" t="s">
        <v>325</v>
      </c>
      <c r="BX45" s="9">
        <f t="shared" si="13"/>
        <v>2</v>
      </c>
      <c r="BY45" s="9">
        <f t="shared" si="14"/>
        <v>3</v>
      </c>
      <c r="BZ45" s="9">
        <f t="shared" si="15"/>
        <v>1</v>
      </c>
      <c r="CA45" s="9">
        <f t="shared" si="16"/>
        <v>5</v>
      </c>
      <c r="CB45" s="9">
        <f t="shared" si="17"/>
        <v>3</v>
      </c>
      <c r="CC45" s="9">
        <f t="shared" si="18"/>
        <v>5</v>
      </c>
      <c r="CD45" s="9">
        <f t="shared" si="6"/>
        <v>1</v>
      </c>
      <c r="CE45" s="21">
        <f t="shared" si="7"/>
        <v>3</v>
      </c>
      <c r="CF45" s="21">
        <f t="shared" si="8"/>
        <v>3</v>
      </c>
      <c r="CG45" s="21">
        <f t="shared" si="9"/>
        <v>2.6666666666666665</v>
      </c>
      <c r="CH45" s="21">
        <f t="shared" si="10"/>
        <v>5</v>
      </c>
      <c r="CI45" s="21">
        <f t="shared" si="11"/>
        <v>5</v>
      </c>
      <c r="CJ45" s="21">
        <f t="shared" si="12"/>
        <v>3.7333333333333329</v>
      </c>
    </row>
    <row r="46" spans="1:88">
      <c r="A46" s="9">
        <v>45</v>
      </c>
      <c r="B46" s="9" t="s">
        <v>99</v>
      </c>
      <c r="C46" s="9" t="s">
        <v>98</v>
      </c>
      <c r="D46" s="9" t="s">
        <v>121</v>
      </c>
      <c r="E46" s="9" t="s">
        <v>68</v>
      </c>
      <c r="F46" s="9" t="s">
        <v>64</v>
      </c>
      <c r="H46" s="9" t="s">
        <v>65</v>
      </c>
      <c r="I46" s="9" t="s">
        <v>87</v>
      </c>
      <c r="J46" s="9" t="s">
        <v>69</v>
      </c>
      <c r="K46" s="9" t="s">
        <v>322</v>
      </c>
      <c r="M46" s="9" t="s">
        <v>70</v>
      </c>
      <c r="N46" s="9" t="s">
        <v>70</v>
      </c>
      <c r="P46" s="10">
        <v>4</v>
      </c>
      <c r="Q46" s="10">
        <v>4</v>
      </c>
      <c r="R46" s="10">
        <v>4</v>
      </c>
      <c r="S46" s="10">
        <v>4</v>
      </c>
      <c r="T46" s="10">
        <v>4</v>
      </c>
      <c r="U46" s="10">
        <v>3</v>
      </c>
      <c r="V46" s="10">
        <v>3.8333333333333335</v>
      </c>
      <c r="W46" s="11">
        <v>5</v>
      </c>
      <c r="X46" s="11">
        <v>5</v>
      </c>
      <c r="Y46" s="11">
        <v>5</v>
      </c>
      <c r="Z46" s="11">
        <v>5</v>
      </c>
      <c r="AA46" s="11">
        <v>5</v>
      </c>
      <c r="AB46" s="11">
        <v>5</v>
      </c>
      <c r="AC46" s="11">
        <v>5</v>
      </c>
      <c r="AD46" s="10"/>
      <c r="AE46" s="10"/>
      <c r="AF46" s="10"/>
      <c r="AG46" s="10"/>
      <c r="AH46" s="10"/>
      <c r="AI46" s="10"/>
      <c r="AJ46" s="10"/>
      <c r="AK46" s="10">
        <v>5</v>
      </c>
      <c r="AL46" s="10">
        <v>5</v>
      </c>
      <c r="AM46" s="10">
        <v>5</v>
      </c>
      <c r="AN46" s="10">
        <v>5</v>
      </c>
      <c r="AO46" s="10">
        <v>4</v>
      </c>
      <c r="AP46" s="10">
        <v>5</v>
      </c>
      <c r="AQ46" s="12">
        <v>3</v>
      </c>
      <c r="AR46" s="12">
        <v>3</v>
      </c>
      <c r="AS46" s="12">
        <v>3</v>
      </c>
      <c r="AT46" s="12">
        <v>3</v>
      </c>
      <c r="AU46" s="12">
        <v>2</v>
      </c>
      <c r="AV46" s="12">
        <v>2.8</v>
      </c>
      <c r="AW46" s="12">
        <v>2</v>
      </c>
      <c r="AX46" s="12">
        <v>1</v>
      </c>
      <c r="AY46" s="12">
        <v>1</v>
      </c>
      <c r="AZ46" s="12">
        <v>1</v>
      </c>
      <c r="BA46" s="12">
        <v>2</v>
      </c>
      <c r="BB46" s="13">
        <v>7</v>
      </c>
      <c r="BC46" s="13">
        <v>931</v>
      </c>
      <c r="BD46" s="13">
        <v>231</v>
      </c>
      <c r="BE46" s="13">
        <v>0.33</v>
      </c>
      <c r="BF46" s="13" t="s">
        <v>209</v>
      </c>
      <c r="BG46" s="13" t="s">
        <v>326</v>
      </c>
      <c r="BH46" s="13" t="s">
        <v>330</v>
      </c>
      <c r="BI46" s="13" t="s">
        <v>325</v>
      </c>
      <c r="BX46" s="9">
        <f t="shared" si="13"/>
        <v>5</v>
      </c>
      <c r="BY46" s="9">
        <f t="shared" si="14"/>
        <v>0</v>
      </c>
      <c r="BZ46" s="9">
        <f t="shared" si="15"/>
        <v>3</v>
      </c>
      <c r="CA46" s="9">
        <f t="shared" si="16"/>
        <v>5</v>
      </c>
      <c r="CB46" s="9">
        <f t="shared" si="17"/>
        <v>4</v>
      </c>
      <c r="CC46" s="9">
        <f t="shared" si="18"/>
        <v>5</v>
      </c>
      <c r="CD46" s="9">
        <f t="shared" si="6"/>
        <v>0</v>
      </c>
      <c r="CE46" s="21">
        <f t="shared" si="7"/>
        <v>5</v>
      </c>
      <c r="CF46" s="21">
        <f t="shared" si="8"/>
        <v>0</v>
      </c>
      <c r="CG46" s="21">
        <f t="shared" si="9"/>
        <v>3.8333333333333335</v>
      </c>
      <c r="CH46" s="21">
        <f t="shared" si="10"/>
        <v>5</v>
      </c>
      <c r="CI46" s="21">
        <f t="shared" si="11"/>
        <v>5</v>
      </c>
      <c r="CJ46" s="21">
        <f t="shared" si="12"/>
        <v>3.7666666666666671</v>
      </c>
    </row>
    <row r="47" spans="1:88">
      <c r="A47" s="9">
        <v>46</v>
      </c>
      <c r="B47" s="9" t="s">
        <v>122</v>
      </c>
      <c r="C47" s="9" t="s">
        <v>123</v>
      </c>
      <c r="D47" s="9" t="s">
        <v>72</v>
      </c>
      <c r="E47" s="9" t="s">
        <v>78</v>
      </c>
      <c r="F47" s="9" t="s">
        <v>64</v>
      </c>
      <c r="G47" s="9">
        <v>2021</v>
      </c>
      <c r="H47" s="9" t="s">
        <v>65</v>
      </c>
      <c r="I47" s="9" t="s">
        <v>329</v>
      </c>
      <c r="J47" s="9" t="s">
        <v>69</v>
      </c>
      <c r="K47" s="9" t="s">
        <v>332</v>
      </c>
      <c r="L47" s="9" t="s">
        <v>70</v>
      </c>
      <c r="N47" s="9" t="s">
        <v>70</v>
      </c>
      <c r="P47" s="10">
        <v>4</v>
      </c>
      <c r="Q47" s="10">
        <v>4</v>
      </c>
      <c r="R47" s="10">
        <v>4</v>
      </c>
      <c r="S47" s="10">
        <v>4</v>
      </c>
      <c r="T47" s="10">
        <v>4</v>
      </c>
      <c r="U47" s="10">
        <v>4</v>
      </c>
      <c r="V47" s="10">
        <v>4</v>
      </c>
      <c r="W47" s="11">
        <v>5</v>
      </c>
      <c r="X47" s="11">
        <v>5</v>
      </c>
      <c r="Y47" s="11">
        <v>5</v>
      </c>
      <c r="Z47" s="11">
        <v>5</v>
      </c>
      <c r="AA47" s="11">
        <v>5</v>
      </c>
      <c r="AB47" s="11">
        <v>5</v>
      </c>
      <c r="AC47" s="11">
        <v>5</v>
      </c>
      <c r="AD47" s="10"/>
      <c r="AE47" s="10"/>
      <c r="AF47" s="10"/>
      <c r="AG47" s="10"/>
      <c r="AH47" s="10"/>
      <c r="AI47" s="10"/>
      <c r="AJ47" s="10">
        <v>5</v>
      </c>
      <c r="AK47" s="10">
        <v>1</v>
      </c>
      <c r="AL47" s="10">
        <v>5</v>
      </c>
      <c r="AM47" s="10"/>
      <c r="AN47" s="10">
        <v>3</v>
      </c>
      <c r="AO47" s="10">
        <v>5</v>
      </c>
      <c r="AP47" s="10">
        <v>5</v>
      </c>
      <c r="AQ47" s="12">
        <v>3</v>
      </c>
      <c r="AR47" s="12">
        <v>3</v>
      </c>
      <c r="AS47" s="12">
        <v>3</v>
      </c>
      <c r="AT47" s="12">
        <v>3</v>
      </c>
      <c r="AU47" s="12">
        <v>3</v>
      </c>
      <c r="AV47" s="12">
        <v>3</v>
      </c>
      <c r="AW47" s="12">
        <v>2</v>
      </c>
      <c r="AX47" s="12">
        <v>2</v>
      </c>
      <c r="AY47" s="12">
        <v>2</v>
      </c>
      <c r="AZ47" s="12">
        <v>3</v>
      </c>
      <c r="BA47" s="12">
        <v>3</v>
      </c>
      <c r="BB47" s="13">
        <v>462</v>
      </c>
      <c r="BC47" s="13">
        <v>612</v>
      </c>
      <c r="BD47" s="13">
        <v>15</v>
      </c>
      <c r="BE47" s="13">
        <v>0.32</v>
      </c>
      <c r="BF47" s="13" t="s">
        <v>217</v>
      </c>
      <c r="BG47" s="13" t="s">
        <v>324</v>
      </c>
      <c r="BI47" s="13" t="s">
        <v>325</v>
      </c>
      <c r="BX47" s="9">
        <f t="shared" si="13"/>
        <v>5</v>
      </c>
      <c r="BY47" s="9">
        <f t="shared" si="14"/>
        <v>5</v>
      </c>
      <c r="BZ47" s="9">
        <f t="shared" si="15"/>
        <v>4</v>
      </c>
      <c r="CA47" s="9">
        <f t="shared" si="16"/>
        <v>1</v>
      </c>
      <c r="CB47" s="9">
        <f t="shared" si="17"/>
        <v>5</v>
      </c>
      <c r="CC47" s="9">
        <f t="shared" si="18"/>
        <v>5</v>
      </c>
      <c r="CD47" s="9">
        <f t="shared" si="6"/>
        <v>1</v>
      </c>
      <c r="CE47" s="21">
        <f t="shared" si="7"/>
        <v>5</v>
      </c>
      <c r="CF47" s="21">
        <f t="shared" si="8"/>
        <v>5</v>
      </c>
      <c r="CG47" s="21">
        <f t="shared" si="9"/>
        <v>4</v>
      </c>
      <c r="CH47" s="21">
        <f t="shared" si="10"/>
        <v>3</v>
      </c>
      <c r="CI47" s="21">
        <f t="shared" si="11"/>
        <v>5</v>
      </c>
      <c r="CJ47" s="21">
        <f t="shared" si="12"/>
        <v>4.4000000000000004</v>
      </c>
    </row>
    <row r="48" spans="1:88">
      <c r="A48" s="9">
        <v>47</v>
      </c>
      <c r="B48" s="9" t="s">
        <v>122</v>
      </c>
      <c r="C48" s="9" t="s">
        <v>124</v>
      </c>
      <c r="D48" s="9" t="s">
        <v>62</v>
      </c>
      <c r="E48" s="9" t="s">
        <v>78</v>
      </c>
      <c r="F48" s="9" t="s">
        <v>64</v>
      </c>
      <c r="G48" s="9">
        <v>2021</v>
      </c>
      <c r="H48" s="9" t="s">
        <v>65</v>
      </c>
      <c r="I48" s="9" t="s">
        <v>329</v>
      </c>
      <c r="J48" s="9" t="s">
        <v>65</v>
      </c>
      <c r="K48" s="9" t="s">
        <v>332</v>
      </c>
      <c r="L48" s="9" t="s">
        <v>70</v>
      </c>
      <c r="N48" s="9" t="s">
        <v>70</v>
      </c>
      <c r="P48" s="10">
        <v>4.5</v>
      </c>
      <c r="Q48" s="10">
        <v>3</v>
      </c>
      <c r="R48" s="10">
        <v>3</v>
      </c>
      <c r="S48" s="10">
        <v>3</v>
      </c>
      <c r="T48" s="10">
        <v>4.5</v>
      </c>
      <c r="U48" s="10">
        <v>4</v>
      </c>
      <c r="V48" s="10">
        <v>3.6666666666666665</v>
      </c>
      <c r="W48" s="11">
        <v>3.5</v>
      </c>
      <c r="X48" s="11">
        <v>1</v>
      </c>
      <c r="Y48" s="11"/>
      <c r="Z48" s="11">
        <v>3</v>
      </c>
      <c r="AA48" s="11">
        <v>3.5</v>
      </c>
      <c r="AB48" s="11">
        <v>4</v>
      </c>
      <c r="AC48" s="11">
        <v>2.5</v>
      </c>
      <c r="AD48" s="10"/>
      <c r="AE48" s="10"/>
      <c r="AF48" s="10"/>
      <c r="AG48" s="10"/>
      <c r="AH48" s="10"/>
      <c r="AI48" s="10"/>
      <c r="AJ48" s="10">
        <v>3</v>
      </c>
      <c r="AK48" s="10">
        <v>5</v>
      </c>
      <c r="AL48" s="10">
        <v>5</v>
      </c>
      <c r="AM48" s="10"/>
      <c r="AN48" s="10">
        <v>5</v>
      </c>
      <c r="AO48" s="10">
        <v>3</v>
      </c>
      <c r="AP48" s="10">
        <v>5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X48" s="9">
        <f t="shared" si="13"/>
        <v>1</v>
      </c>
      <c r="BY48" s="9">
        <f t="shared" si="14"/>
        <v>3</v>
      </c>
      <c r="BZ48" s="9">
        <f t="shared" si="15"/>
        <v>3</v>
      </c>
      <c r="CA48" s="9">
        <f t="shared" si="16"/>
        <v>5</v>
      </c>
      <c r="CB48" s="9">
        <f t="shared" si="17"/>
        <v>3</v>
      </c>
      <c r="CC48" s="9">
        <f t="shared" si="18"/>
        <v>5</v>
      </c>
      <c r="CD48" s="9">
        <f t="shared" si="6"/>
        <v>1</v>
      </c>
      <c r="CE48" s="21">
        <f t="shared" si="7"/>
        <v>2.5</v>
      </c>
      <c r="CF48" s="21">
        <f t="shared" si="8"/>
        <v>3</v>
      </c>
      <c r="CG48" s="21">
        <f t="shared" si="9"/>
        <v>3.6666666666666665</v>
      </c>
      <c r="CH48" s="21">
        <f t="shared" si="10"/>
        <v>5</v>
      </c>
      <c r="CI48" s="21">
        <f t="shared" si="11"/>
        <v>5</v>
      </c>
      <c r="CJ48" s="21">
        <f t="shared" si="12"/>
        <v>3.833333333333333</v>
      </c>
    </row>
    <row r="49" spans="1:88">
      <c r="A49" s="9">
        <v>48</v>
      </c>
      <c r="B49" s="9" t="s">
        <v>122</v>
      </c>
      <c r="C49" s="9" t="s">
        <v>125</v>
      </c>
      <c r="D49" s="9" t="s">
        <v>86</v>
      </c>
      <c r="E49" s="9" t="s">
        <v>113</v>
      </c>
      <c r="F49" s="9" t="s">
        <v>78</v>
      </c>
      <c r="G49" s="9">
        <v>2022</v>
      </c>
      <c r="H49" s="9" t="s">
        <v>69</v>
      </c>
      <c r="I49" s="9" t="s">
        <v>69</v>
      </c>
      <c r="J49" s="9" t="s">
        <v>69</v>
      </c>
      <c r="K49" s="9" t="s">
        <v>323</v>
      </c>
      <c r="M49" s="9" t="s">
        <v>70</v>
      </c>
      <c r="P49" s="10">
        <v>5</v>
      </c>
      <c r="Q49" s="10">
        <v>5</v>
      </c>
      <c r="R49" s="10">
        <v>3</v>
      </c>
      <c r="S49" s="10">
        <v>4.5</v>
      </c>
      <c r="T49" s="10">
        <v>5</v>
      </c>
      <c r="U49" s="10">
        <v>4</v>
      </c>
      <c r="V49" s="10">
        <v>4.416666666666667</v>
      </c>
      <c r="W49" s="11">
        <v>5</v>
      </c>
      <c r="X49" s="11">
        <v>5</v>
      </c>
      <c r="Y49" s="11">
        <v>5</v>
      </c>
      <c r="Z49" s="11">
        <v>5</v>
      </c>
      <c r="AA49" s="11">
        <v>5</v>
      </c>
      <c r="AB49" s="11">
        <v>5</v>
      </c>
      <c r="AC49" s="11">
        <v>5</v>
      </c>
      <c r="AD49" s="10"/>
      <c r="AE49" s="10"/>
      <c r="AF49" s="10"/>
      <c r="AG49" s="10"/>
      <c r="AH49" s="10"/>
      <c r="AI49" s="10"/>
      <c r="AJ49" s="10"/>
      <c r="AK49" s="10">
        <v>1</v>
      </c>
      <c r="AL49" s="10">
        <v>3</v>
      </c>
      <c r="AM49" s="10"/>
      <c r="AN49" s="10">
        <v>2</v>
      </c>
      <c r="AO49" s="10"/>
      <c r="AP49" s="10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X49" s="9">
        <f t="shared" si="13"/>
        <v>5</v>
      </c>
      <c r="BY49" s="9">
        <f t="shared" si="14"/>
        <v>0</v>
      </c>
      <c r="BZ49" s="9">
        <f t="shared" si="15"/>
        <v>3</v>
      </c>
      <c r="CA49" s="9">
        <f t="shared" si="16"/>
        <v>1</v>
      </c>
      <c r="CB49" s="9">
        <f t="shared" si="17"/>
        <v>0</v>
      </c>
      <c r="CC49" s="9">
        <f t="shared" si="18"/>
        <v>0</v>
      </c>
      <c r="CD49" s="9">
        <f t="shared" si="6"/>
        <v>0</v>
      </c>
      <c r="CE49" s="21">
        <f t="shared" si="7"/>
        <v>5</v>
      </c>
      <c r="CF49" s="21">
        <f t="shared" si="8"/>
        <v>0</v>
      </c>
      <c r="CG49" s="21">
        <f t="shared" si="9"/>
        <v>4.416666666666667</v>
      </c>
      <c r="CH49" s="21">
        <f t="shared" si="10"/>
        <v>2</v>
      </c>
      <c r="CI49" s="21">
        <f t="shared" si="11"/>
        <v>0</v>
      </c>
      <c r="CJ49" s="21">
        <f t="shared" si="12"/>
        <v>2.2833333333333337</v>
      </c>
    </row>
    <row r="50" spans="1:88">
      <c r="A50" s="9">
        <v>49</v>
      </c>
      <c r="B50" s="9" t="s">
        <v>122</v>
      </c>
      <c r="C50" s="9" t="s">
        <v>98</v>
      </c>
      <c r="D50" s="9" t="s">
        <v>72</v>
      </c>
      <c r="E50" s="9" t="s">
        <v>63</v>
      </c>
      <c r="F50" s="9" t="s">
        <v>78</v>
      </c>
      <c r="H50" s="9" t="s">
        <v>69</v>
      </c>
      <c r="I50" s="9" t="s">
        <v>87</v>
      </c>
      <c r="J50" s="9" t="s">
        <v>65</v>
      </c>
      <c r="K50" s="9" t="s">
        <v>92</v>
      </c>
      <c r="L50" s="9" t="s">
        <v>70</v>
      </c>
      <c r="O50" s="9" t="s">
        <v>70</v>
      </c>
      <c r="P50" s="10">
        <v>4</v>
      </c>
      <c r="Q50" s="10">
        <v>4</v>
      </c>
      <c r="R50" s="10">
        <v>4</v>
      </c>
      <c r="S50" s="10">
        <v>4</v>
      </c>
      <c r="T50" s="10">
        <v>4</v>
      </c>
      <c r="U50" s="10">
        <v>4</v>
      </c>
      <c r="V50" s="10">
        <v>4</v>
      </c>
      <c r="W50" s="11">
        <v>5</v>
      </c>
      <c r="X50" s="11">
        <v>5</v>
      </c>
      <c r="Y50" s="11">
        <v>5</v>
      </c>
      <c r="Z50" s="11">
        <v>5</v>
      </c>
      <c r="AA50" s="11">
        <v>5</v>
      </c>
      <c r="AB50" s="11">
        <v>5</v>
      </c>
      <c r="AC50" s="11">
        <v>5</v>
      </c>
      <c r="AD50" s="10"/>
      <c r="AE50" s="10"/>
      <c r="AF50" s="10"/>
      <c r="AG50" s="10"/>
      <c r="AH50" s="10"/>
      <c r="AI50" s="10"/>
      <c r="AJ50" s="10">
        <v>5</v>
      </c>
      <c r="AK50" s="10">
        <v>5</v>
      </c>
      <c r="AL50" s="10">
        <v>5</v>
      </c>
      <c r="AM50" s="10"/>
      <c r="AN50" s="10">
        <v>5</v>
      </c>
      <c r="AO50" s="10">
        <v>5</v>
      </c>
      <c r="AP50" s="10">
        <v>5</v>
      </c>
      <c r="AQ50" s="12">
        <v>3</v>
      </c>
      <c r="AR50" s="12">
        <v>3</v>
      </c>
      <c r="AS50" s="12">
        <v>3</v>
      </c>
      <c r="AT50" s="12">
        <v>3</v>
      </c>
      <c r="AU50" s="12">
        <v>3</v>
      </c>
      <c r="AV50" s="12">
        <v>3</v>
      </c>
      <c r="AW50" s="12">
        <v>3</v>
      </c>
      <c r="AX50" s="12">
        <v>3</v>
      </c>
      <c r="AY50" s="12">
        <v>3</v>
      </c>
      <c r="AZ50" s="12">
        <v>3</v>
      </c>
      <c r="BA50" s="12">
        <v>3</v>
      </c>
      <c r="BB50" s="13">
        <v>776</v>
      </c>
      <c r="BC50" s="13">
        <v>958</v>
      </c>
      <c r="BD50" s="13">
        <v>182</v>
      </c>
      <c r="BE50" s="13">
        <v>0.23</v>
      </c>
      <c r="BX50" s="9">
        <f t="shared" si="13"/>
        <v>5</v>
      </c>
      <c r="BY50" s="9">
        <f t="shared" si="14"/>
        <v>5</v>
      </c>
      <c r="BZ50" s="9">
        <f t="shared" si="15"/>
        <v>4</v>
      </c>
      <c r="CA50" s="9">
        <f t="shared" si="16"/>
        <v>5</v>
      </c>
      <c r="CB50" s="9">
        <f t="shared" si="17"/>
        <v>5</v>
      </c>
      <c r="CC50" s="9">
        <f t="shared" si="18"/>
        <v>5</v>
      </c>
      <c r="CD50" s="9">
        <f t="shared" si="6"/>
        <v>4</v>
      </c>
      <c r="CE50" s="21">
        <f t="shared" si="7"/>
        <v>5</v>
      </c>
      <c r="CF50" s="21">
        <f t="shared" si="8"/>
        <v>5</v>
      </c>
      <c r="CG50" s="21">
        <f t="shared" si="9"/>
        <v>4</v>
      </c>
      <c r="CH50" s="21">
        <f t="shared" si="10"/>
        <v>5</v>
      </c>
      <c r="CI50" s="21">
        <f t="shared" si="11"/>
        <v>5</v>
      </c>
      <c r="CJ50" s="21">
        <f t="shared" si="12"/>
        <v>4.8</v>
      </c>
    </row>
    <row r="51" spans="1:88">
      <c r="A51" s="9">
        <v>50</v>
      </c>
      <c r="B51" s="9" t="s">
        <v>122</v>
      </c>
      <c r="C51" s="9" t="s">
        <v>98</v>
      </c>
      <c r="D51" s="9" t="s">
        <v>73</v>
      </c>
      <c r="E51" s="9" t="s">
        <v>63</v>
      </c>
      <c r="F51" s="9" t="s">
        <v>78</v>
      </c>
      <c r="G51" s="9">
        <v>2001</v>
      </c>
      <c r="H51" s="9" t="s">
        <v>65</v>
      </c>
      <c r="I51" s="9" t="s">
        <v>87</v>
      </c>
      <c r="J51" s="9" t="s">
        <v>65</v>
      </c>
      <c r="K51" s="9" t="s">
        <v>92</v>
      </c>
      <c r="L51" s="9" t="s">
        <v>70</v>
      </c>
      <c r="P51" s="10">
        <v>4</v>
      </c>
      <c r="Q51" s="10">
        <v>3</v>
      </c>
      <c r="R51" s="10">
        <v>2</v>
      </c>
      <c r="S51" s="10">
        <v>2.5</v>
      </c>
      <c r="T51" s="10">
        <v>3.5</v>
      </c>
      <c r="U51" s="10">
        <v>1</v>
      </c>
      <c r="V51" s="10">
        <v>2.6666666666666665</v>
      </c>
      <c r="W51" s="11">
        <v>4</v>
      </c>
      <c r="X51" s="11">
        <v>4</v>
      </c>
      <c r="Y51" s="11">
        <v>4</v>
      </c>
      <c r="Z51" s="11">
        <v>3.5</v>
      </c>
      <c r="AA51" s="11">
        <v>4</v>
      </c>
      <c r="AB51" s="11">
        <v>4</v>
      </c>
      <c r="AC51" s="11">
        <v>3.9166666666666665</v>
      </c>
      <c r="AD51" s="10"/>
      <c r="AE51" s="10"/>
      <c r="AF51" s="10"/>
      <c r="AG51" s="10"/>
      <c r="AH51" s="10"/>
      <c r="AI51" s="10"/>
      <c r="AJ51" s="10">
        <v>3</v>
      </c>
      <c r="AK51" s="10">
        <v>3</v>
      </c>
      <c r="AL51" s="10">
        <v>5</v>
      </c>
      <c r="AM51" s="10"/>
      <c r="AN51" s="10">
        <v>4</v>
      </c>
      <c r="AO51" s="10">
        <v>2.5</v>
      </c>
      <c r="AP51" s="10">
        <v>2.5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X51" s="9">
        <f t="shared" si="13"/>
        <v>3.5</v>
      </c>
      <c r="BY51" s="9">
        <f t="shared" si="14"/>
        <v>3</v>
      </c>
      <c r="BZ51" s="9">
        <f t="shared" si="15"/>
        <v>1</v>
      </c>
      <c r="CA51" s="9">
        <f t="shared" si="16"/>
        <v>3</v>
      </c>
      <c r="CB51" s="9">
        <f t="shared" si="17"/>
        <v>2.5</v>
      </c>
      <c r="CC51" s="9">
        <f t="shared" si="18"/>
        <v>2.5</v>
      </c>
      <c r="CD51" s="9">
        <f t="shared" si="6"/>
        <v>1</v>
      </c>
      <c r="CE51" s="21">
        <f t="shared" si="7"/>
        <v>3.9166666666666665</v>
      </c>
      <c r="CF51" s="21">
        <f t="shared" si="8"/>
        <v>3</v>
      </c>
      <c r="CG51" s="21">
        <f t="shared" si="9"/>
        <v>2.6666666666666665</v>
      </c>
      <c r="CH51" s="21">
        <f t="shared" si="10"/>
        <v>4</v>
      </c>
      <c r="CI51" s="21">
        <f t="shared" si="11"/>
        <v>2.5</v>
      </c>
      <c r="CJ51" s="21">
        <f t="shared" si="12"/>
        <v>3.2166666666666663</v>
      </c>
    </row>
    <row r="52" spans="1:88">
      <c r="A52" s="9">
        <v>51</v>
      </c>
      <c r="B52" s="9" t="s">
        <v>122</v>
      </c>
      <c r="C52" s="9" t="s">
        <v>85</v>
      </c>
      <c r="D52" s="9" t="s">
        <v>72</v>
      </c>
      <c r="E52" s="9" t="s">
        <v>63</v>
      </c>
      <c r="F52" s="9" t="s">
        <v>78</v>
      </c>
      <c r="G52" s="9">
        <v>2007</v>
      </c>
      <c r="H52" s="9" t="s">
        <v>65</v>
      </c>
      <c r="I52" s="9" t="s">
        <v>87</v>
      </c>
      <c r="J52" s="9" t="s">
        <v>65</v>
      </c>
      <c r="K52" s="9" t="s">
        <v>323</v>
      </c>
      <c r="O52" s="9" t="s">
        <v>70</v>
      </c>
      <c r="P52" s="10">
        <v>3.5</v>
      </c>
      <c r="Q52" s="10">
        <v>3</v>
      </c>
      <c r="R52" s="10">
        <v>3</v>
      </c>
      <c r="S52" s="10">
        <v>3.5</v>
      </c>
      <c r="T52" s="10">
        <v>3</v>
      </c>
      <c r="U52" s="10">
        <v>3</v>
      </c>
      <c r="V52" s="10">
        <v>3.1666666666666665</v>
      </c>
      <c r="W52" s="11">
        <v>4</v>
      </c>
      <c r="X52" s="11">
        <v>4</v>
      </c>
      <c r="Y52" s="11">
        <v>4</v>
      </c>
      <c r="Z52" s="11">
        <v>4</v>
      </c>
      <c r="AA52" s="11">
        <v>4</v>
      </c>
      <c r="AB52" s="11">
        <v>4</v>
      </c>
      <c r="AC52" s="11">
        <v>4</v>
      </c>
      <c r="AD52" s="10"/>
      <c r="AE52" s="10"/>
      <c r="AF52" s="10"/>
      <c r="AG52" s="10"/>
      <c r="AH52" s="10"/>
      <c r="AI52" s="10"/>
      <c r="AJ52" s="10">
        <v>3</v>
      </c>
      <c r="AK52" s="10">
        <v>1</v>
      </c>
      <c r="AL52" s="10">
        <v>4</v>
      </c>
      <c r="AM52" s="10">
        <v>4</v>
      </c>
      <c r="AN52" s="10">
        <v>3</v>
      </c>
      <c r="AO52" s="10">
        <v>3.5</v>
      </c>
      <c r="AP52" s="10">
        <v>4.333333333333333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X52" s="9">
        <f t="shared" si="13"/>
        <v>4</v>
      </c>
      <c r="BY52" s="9">
        <f t="shared" si="14"/>
        <v>3</v>
      </c>
      <c r="BZ52" s="9">
        <f t="shared" si="15"/>
        <v>3</v>
      </c>
      <c r="CA52" s="9">
        <f t="shared" si="16"/>
        <v>1</v>
      </c>
      <c r="CB52" s="9">
        <f t="shared" si="17"/>
        <v>3.5</v>
      </c>
      <c r="CC52" s="9">
        <f t="shared" si="18"/>
        <v>4.333333333333333</v>
      </c>
      <c r="CD52" s="9">
        <f t="shared" si="6"/>
        <v>1</v>
      </c>
      <c r="CE52" s="21">
        <f t="shared" si="7"/>
        <v>4</v>
      </c>
      <c r="CF52" s="21">
        <f t="shared" si="8"/>
        <v>3</v>
      </c>
      <c r="CG52" s="21">
        <f t="shared" si="9"/>
        <v>3.1666666666666665</v>
      </c>
      <c r="CH52" s="21">
        <f t="shared" si="10"/>
        <v>3</v>
      </c>
      <c r="CI52" s="21">
        <f t="shared" si="11"/>
        <v>4.333333333333333</v>
      </c>
      <c r="CJ52" s="21">
        <f t="shared" si="12"/>
        <v>3.5</v>
      </c>
    </row>
    <row r="53" spans="1:88">
      <c r="A53" s="9">
        <v>52</v>
      </c>
      <c r="B53" s="9" t="s">
        <v>122</v>
      </c>
      <c r="C53" s="9" t="s">
        <v>98</v>
      </c>
      <c r="D53" s="9" t="s">
        <v>97</v>
      </c>
      <c r="E53" s="9" t="s">
        <v>63</v>
      </c>
      <c r="F53" s="9" t="s">
        <v>78</v>
      </c>
      <c r="H53" s="9" t="s">
        <v>65</v>
      </c>
      <c r="I53" s="9" t="s">
        <v>87</v>
      </c>
      <c r="J53" s="9" t="s">
        <v>65</v>
      </c>
      <c r="K53" s="9" t="s">
        <v>92</v>
      </c>
      <c r="L53" s="9" t="s">
        <v>70</v>
      </c>
      <c r="O53" s="9" t="s">
        <v>70</v>
      </c>
      <c r="P53" s="10">
        <v>3.5</v>
      </c>
      <c r="Q53" s="10">
        <v>3</v>
      </c>
      <c r="R53" s="10">
        <v>3</v>
      </c>
      <c r="S53" s="10">
        <v>3</v>
      </c>
      <c r="T53" s="10">
        <v>3</v>
      </c>
      <c r="U53" s="10">
        <v>3</v>
      </c>
      <c r="V53" s="10">
        <v>3.8333333333333002</v>
      </c>
      <c r="W53" s="11">
        <v>4</v>
      </c>
      <c r="X53" s="11">
        <v>4</v>
      </c>
      <c r="Y53" s="11">
        <v>4</v>
      </c>
      <c r="Z53" s="11">
        <v>4</v>
      </c>
      <c r="AA53" s="11">
        <v>4</v>
      </c>
      <c r="AB53" s="11">
        <v>4</v>
      </c>
      <c r="AC53" s="11">
        <v>4</v>
      </c>
      <c r="AD53" s="10"/>
      <c r="AE53" s="10"/>
      <c r="AF53" s="10"/>
      <c r="AG53" s="10"/>
      <c r="AH53" s="10"/>
      <c r="AI53" s="10"/>
      <c r="AJ53" s="10">
        <v>4</v>
      </c>
      <c r="AK53" s="10">
        <v>1</v>
      </c>
      <c r="AL53" s="10">
        <v>4</v>
      </c>
      <c r="AM53" s="10"/>
      <c r="AN53" s="10">
        <v>2.5</v>
      </c>
      <c r="AO53" s="10">
        <v>4</v>
      </c>
      <c r="AP53" s="10">
        <v>4.25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X53" s="9">
        <f t="shared" si="13"/>
        <v>4</v>
      </c>
      <c r="BY53" s="9">
        <f t="shared" si="14"/>
        <v>4</v>
      </c>
      <c r="BZ53" s="9">
        <f t="shared" si="15"/>
        <v>3</v>
      </c>
      <c r="CA53" s="9">
        <f t="shared" si="16"/>
        <v>1</v>
      </c>
      <c r="CB53" s="9">
        <f t="shared" si="17"/>
        <v>4</v>
      </c>
      <c r="CC53" s="9">
        <f t="shared" si="18"/>
        <v>4.25</v>
      </c>
      <c r="CD53" s="9">
        <f t="shared" si="6"/>
        <v>1</v>
      </c>
      <c r="CE53" s="21">
        <f t="shared" si="7"/>
        <v>4</v>
      </c>
      <c r="CF53" s="21">
        <f t="shared" si="8"/>
        <v>4</v>
      </c>
      <c r="CG53" s="21">
        <f t="shared" si="9"/>
        <v>3.8333333333333002</v>
      </c>
      <c r="CH53" s="21">
        <f t="shared" si="10"/>
        <v>2.5</v>
      </c>
      <c r="CI53" s="21">
        <f t="shared" si="11"/>
        <v>4.25</v>
      </c>
      <c r="CJ53" s="21">
        <f t="shared" si="12"/>
        <v>3.7166666666666601</v>
      </c>
    </row>
    <row r="54" spans="1:88">
      <c r="A54" s="9">
        <v>53</v>
      </c>
      <c r="B54" s="9" t="s">
        <v>122</v>
      </c>
      <c r="C54" s="9" t="s">
        <v>123</v>
      </c>
      <c r="D54" s="9" t="s">
        <v>73</v>
      </c>
      <c r="E54" s="9" t="s">
        <v>126</v>
      </c>
      <c r="F54" s="9" t="s">
        <v>78</v>
      </c>
      <c r="G54" s="9">
        <v>2021</v>
      </c>
      <c r="H54" s="9" t="s">
        <v>69</v>
      </c>
      <c r="I54" s="9" t="s">
        <v>83</v>
      </c>
      <c r="J54" s="9" t="s">
        <v>69</v>
      </c>
      <c r="K54" s="9" t="s">
        <v>323</v>
      </c>
      <c r="N54" s="9" t="s">
        <v>70</v>
      </c>
      <c r="O54" s="9" t="s">
        <v>70</v>
      </c>
      <c r="P54" s="10">
        <v>4</v>
      </c>
      <c r="Q54" s="10">
        <v>4</v>
      </c>
      <c r="R54" s="10">
        <v>2</v>
      </c>
      <c r="S54" s="10">
        <v>4</v>
      </c>
      <c r="T54" s="10">
        <v>3.5</v>
      </c>
      <c r="U54" s="10">
        <v>3</v>
      </c>
      <c r="V54" s="10">
        <v>3.4166666666666665</v>
      </c>
      <c r="W54" s="11">
        <v>5</v>
      </c>
      <c r="X54" s="11">
        <v>5</v>
      </c>
      <c r="Y54" s="11">
        <v>5</v>
      </c>
      <c r="Z54" s="11">
        <v>5</v>
      </c>
      <c r="AA54" s="11">
        <v>4</v>
      </c>
      <c r="AB54" s="11">
        <v>3</v>
      </c>
      <c r="AC54" s="11">
        <v>4.5</v>
      </c>
      <c r="AD54" s="10"/>
      <c r="AE54" s="10"/>
      <c r="AF54" s="10"/>
      <c r="AG54" s="10"/>
      <c r="AH54" s="10"/>
      <c r="AI54" s="10"/>
      <c r="AJ54" s="10">
        <v>4</v>
      </c>
      <c r="AK54" s="10">
        <v>5</v>
      </c>
      <c r="AL54" s="10">
        <v>5</v>
      </c>
      <c r="AM54" s="10"/>
      <c r="AN54" s="10">
        <v>5</v>
      </c>
      <c r="AO54" s="10">
        <v>3</v>
      </c>
      <c r="AP54" s="10">
        <v>4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X54" s="9">
        <f t="shared" si="13"/>
        <v>3</v>
      </c>
      <c r="BY54" s="9">
        <f t="shared" si="14"/>
        <v>4</v>
      </c>
      <c r="BZ54" s="9">
        <f t="shared" si="15"/>
        <v>2</v>
      </c>
      <c r="CA54" s="9">
        <f t="shared" si="16"/>
        <v>5</v>
      </c>
      <c r="CB54" s="9">
        <f t="shared" si="17"/>
        <v>3</v>
      </c>
      <c r="CC54" s="9">
        <f t="shared" si="18"/>
        <v>4</v>
      </c>
      <c r="CD54" s="9">
        <f t="shared" si="6"/>
        <v>2</v>
      </c>
      <c r="CE54" s="21">
        <f t="shared" si="7"/>
        <v>4.5</v>
      </c>
      <c r="CF54" s="21">
        <f t="shared" si="8"/>
        <v>4</v>
      </c>
      <c r="CG54" s="21">
        <f t="shared" si="9"/>
        <v>3.4166666666666665</v>
      </c>
      <c r="CH54" s="21">
        <f t="shared" si="10"/>
        <v>5</v>
      </c>
      <c r="CI54" s="21">
        <f t="shared" si="11"/>
        <v>4</v>
      </c>
      <c r="CJ54" s="21">
        <f t="shared" si="12"/>
        <v>4.1833333333333327</v>
      </c>
    </row>
    <row r="55" spans="1:88">
      <c r="A55" s="9">
        <v>54</v>
      </c>
      <c r="B55" s="9" t="s">
        <v>122</v>
      </c>
      <c r="C55" s="9" t="s">
        <v>98</v>
      </c>
      <c r="D55" s="9" t="s">
        <v>96</v>
      </c>
      <c r="E55" s="9" t="s">
        <v>63</v>
      </c>
      <c r="F55" s="9" t="s">
        <v>64</v>
      </c>
      <c r="G55" s="9">
        <v>2021</v>
      </c>
      <c r="H55" s="9" t="s">
        <v>69</v>
      </c>
      <c r="I55" s="9" t="s">
        <v>83</v>
      </c>
      <c r="K55" s="9" t="s">
        <v>322</v>
      </c>
      <c r="N55" s="9" t="s">
        <v>70</v>
      </c>
      <c r="P55" s="10">
        <v>5</v>
      </c>
      <c r="Q55" s="10">
        <v>5</v>
      </c>
      <c r="R55" s="10">
        <v>5</v>
      </c>
      <c r="S55" s="10">
        <v>5</v>
      </c>
      <c r="T55" s="10">
        <v>5</v>
      </c>
      <c r="U55" s="10">
        <v>5</v>
      </c>
      <c r="V55" s="10">
        <v>5</v>
      </c>
      <c r="W55" s="11">
        <v>5</v>
      </c>
      <c r="X55" s="11">
        <v>5</v>
      </c>
      <c r="Y55" s="11">
        <v>5</v>
      </c>
      <c r="Z55" s="11">
        <v>5</v>
      </c>
      <c r="AA55" s="11">
        <v>5</v>
      </c>
      <c r="AB55" s="11">
        <v>5</v>
      </c>
      <c r="AC55" s="11">
        <v>5</v>
      </c>
      <c r="AD55" s="10"/>
      <c r="AE55" s="10"/>
      <c r="AF55" s="10"/>
      <c r="AG55" s="10"/>
      <c r="AH55" s="10"/>
      <c r="AI55" s="10"/>
      <c r="AJ55" s="10">
        <v>5</v>
      </c>
      <c r="AK55" s="10">
        <v>5</v>
      </c>
      <c r="AL55" s="10">
        <v>5</v>
      </c>
      <c r="AM55" s="10"/>
      <c r="AN55" s="10">
        <v>5</v>
      </c>
      <c r="AO55" s="10">
        <v>5</v>
      </c>
      <c r="AP55" s="10">
        <v>5</v>
      </c>
      <c r="AQ55" s="12">
        <v>3</v>
      </c>
      <c r="AR55" s="12">
        <v>3</v>
      </c>
      <c r="AS55" s="12">
        <v>2</v>
      </c>
      <c r="AT55" s="12">
        <v>3</v>
      </c>
      <c r="AU55" s="12">
        <v>3</v>
      </c>
      <c r="AV55" s="12">
        <v>2.8</v>
      </c>
      <c r="AW55" s="12">
        <v>3</v>
      </c>
      <c r="AX55" s="12">
        <v>3</v>
      </c>
      <c r="AY55" s="12">
        <v>3</v>
      </c>
      <c r="AZ55" s="12">
        <v>3</v>
      </c>
      <c r="BA55" s="12">
        <v>3</v>
      </c>
      <c r="BB55" s="13">
        <v>368</v>
      </c>
      <c r="BC55" s="13">
        <v>487</v>
      </c>
      <c r="BD55" s="13">
        <v>119</v>
      </c>
      <c r="BE55" s="13">
        <v>0.32</v>
      </c>
      <c r="BF55" s="13" t="s">
        <v>209</v>
      </c>
      <c r="BG55" s="13" t="s">
        <v>326</v>
      </c>
      <c r="BI55" s="13" t="s">
        <v>325</v>
      </c>
      <c r="BX55" s="9">
        <f t="shared" si="13"/>
        <v>5</v>
      </c>
      <c r="BY55" s="9">
        <f t="shared" si="14"/>
        <v>5</v>
      </c>
      <c r="BZ55" s="9">
        <f t="shared" si="15"/>
        <v>5</v>
      </c>
      <c r="CA55" s="9">
        <f t="shared" si="16"/>
        <v>5</v>
      </c>
      <c r="CB55" s="9">
        <f t="shared" si="17"/>
        <v>5</v>
      </c>
      <c r="CC55" s="9">
        <f t="shared" si="18"/>
        <v>5</v>
      </c>
      <c r="CD55" s="9">
        <f t="shared" si="6"/>
        <v>5</v>
      </c>
      <c r="CE55" s="21">
        <f t="shared" si="7"/>
        <v>5</v>
      </c>
      <c r="CF55" s="21">
        <f t="shared" si="8"/>
        <v>5</v>
      </c>
      <c r="CG55" s="21">
        <f t="shared" si="9"/>
        <v>5</v>
      </c>
      <c r="CH55" s="21">
        <f t="shared" si="10"/>
        <v>5</v>
      </c>
      <c r="CI55" s="21">
        <f t="shared" si="11"/>
        <v>5</v>
      </c>
      <c r="CJ55" s="21">
        <f t="shared" si="12"/>
        <v>5</v>
      </c>
    </row>
    <row r="56" spans="1:88">
      <c r="A56" s="9">
        <v>55</v>
      </c>
      <c r="B56" s="9" t="s">
        <v>122</v>
      </c>
      <c r="C56" s="9" t="s">
        <v>98</v>
      </c>
      <c r="D56" s="9" t="s">
        <v>72</v>
      </c>
      <c r="E56" s="9" t="s">
        <v>63</v>
      </c>
      <c r="F56" s="9" t="s">
        <v>78</v>
      </c>
      <c r="H56" s="9" t="s">
        <v>65</v>
      </c>
      <c r="I56" s="9" t="s">
        <v>87</v>
      </c>
      <c r="J56" s="9" t="s">
        <v>65</v>
      </c>
      <c r="K56" s="9" t="s">
        <v>92</v>
      </c>
      <c r="L56" s="9" t="s">
        <v>70</v>
      </c>
      <c r="P56" s="10">
        <v>4</v>
      </c>
      <c r="Q56" s="10">
        <v>4</v>
      </c>
      <c r="R56" s="10">
        <v>4</v>
      </c>
      <c r="S56" s="10">
        <v>4</v>
      </c>
      <c r="T56" s="10">
        <v>4</v>
      </c>
      <c r="U56" s="10">
        <v>4</v>
      </c>
      <c r="V56" s="10">
        <v>4</v>
      </c>
      <c r="W56" s="11">
        <v>4</v>
      </c>
      <c r="X56" s="11">
        <v>4</v>
      </c>
      <c r="Y56" s="11">
        <v>4</v>
      </c>
      <c r="Z56" s="11">
        <v>4</v>
      </c>
      <c r="AA56" s="11">
        <v>4</v>
      </c>
      <c r="AB56" s="11">
        <v>4</v>
      </c>
      <c r="AC56" s="11">
        <v>4</v>
      </c>
      <c r="AD56" s="10"/>
      <c r="AE56" s="10"/>
      <c r="AF56" s="10"/>
      <c r="AG56" s="10"/>
      <c r="AH56" s="10"/>
      <c r="AI56" s="10"/>
      <c r="AJ56" s="10">
        <v>4</v>
      </c>
      <c r="AK56" s="10">
        <v>5</v>
      </c>
      <c r="AL56" s="10">
        <v>2</v>
      </c>
      <c r="AM56" s="10"/>
      <c r="AN56" s="10">
        <v>3.5</v>
      </c>
      <c r="AO56" s="10">
        <v>4.5</v>
      </c>
      <c r="AP56" s="10">
        <v>4.333333333333333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X56" s="9">
        <f t="shared" si="13"/>
        <v>4</v>
      </c>
      <c r="BY56" s="9">
        <f t="shared" si="14"/>
        <v>4</v>
      </c>
      <c r="BZ56" s="9">
        <f t="shared" si="15"/>
        <v>4</v>
      </c>
      <c r="CA56" s="9">
        <f t="shared" si="16"/>
        <v>2</v>
      </c>
      <c r="CB56" s="9">
        <f t="shared" si="17"/>
        <v>4.5</v>
      </c>
      <c r="CC56" s="9">
        <f t="shared" si="18"/>
        <v>4.333333333333333</v>
      </c>
      <c r="CD56" s="9">
        <f t="shared" si="6"/>
        <v>2</v>
      </c>
      <c r="CE56" s="21">
        <f t="shared" si="7"/>
        <v>4</v>
      </c>
      <c r="CF56" s="21">
        <f t="shared" si="8"/>
        <v>4</v>
      </c>
      <c r="CG56" s="21">
        <f t="shared" si="9"/>
        <v>4</v>
      </c>
      <c r="CH56" s="21">
        <f t="shared" si="10"/>
        <v>3.5</v>
      </c>
      <c r="CI56" s="21">
        <f t="shared" si="11"/>
        <v>4.333333333333333</v>
      </c>
      <c r="CJ56" s="21">
        <f t="shared" si="12"/>
        <v>3.9666666666666663</v>
      </c>
    </row>
    <row r="57" spans="1:88">
      <c r="A57" s="9">
        <v>56</v>
      </c>
      <c r="B57" s="9" t="s">
        <v>122</v>
      </c>
      <c r="C57" s="9" t="s">
        <v>98</v>
      </c>
      <c r="D57" s="9" t="s">
        <v>96</v>
      </c>
      <c r="E57" s="9" t="s">
        <v>74</v>
      </c>
      <c r="F57" s="9" t="s">
        <v>64</v>
      </c>
      <c r="G57" s="9">
        <v>2021</v>
      </c>
      <c r="H57" s="9" t="s">
        <v>69</v>
      </c>
      <c r="I57" s="9" t="s">
        <v>83</v>
      </c>
      <c r="K57" s="9" t="s">
        <v>322</v>
      </c>
      <c r="N57" s="9" t="s">
        <v>70</v>
      </c>
      <c r="P57" s="10">
        <v>5</v>
      </c>
      <c r="Q57" s="10">
        <v>5</v>
      </c>
      <c r="R57" s="10">
        <v>5</v>
      </c>
      <c r="S57" s="10">
        <v>5</v>
      </c>
      <c r="T57" s="10">
        <v>5</v>
      </c>
      <c r="U57" s="10">
        <v>5</v>
      </c>
      <c r="V57" s="10">
        <v>5</v>
      </c>
      <c r="W57" s="11">
        <v>5</v>
      </c>
      <c r="X57" s="11">
        <v>5</v>
      </c>
      <c r="Y57" s="11">
        <v>5</v>
      </c>
      <c r="Z57" s="11">
        <v>5</v>
      </c>
      <c r="AA57" s="11">
        <v>5</v>
      </c>
      <c r="AB57" s="11">
        <v>5</v>
      </c>
      <c r="AC57" s="11">
        <v>5</v>
      </c>
      <c r="AD57" s="10"/>
      <c r="AE57" s="10"/>
      <c r="AF57" s="10"/>
      <c r="AG57" s="10"/>
      <c r="AH57" s="10"/>
      <c r="AI57" s="10"/>
      <c r="AJ57" s="10">
        <v>5</v>
      </c>
      <c r="AK57" s="10">
        <v>5</v>
      </c>
      <c r="AL57" s="10">
        <v>5</v>
      </c>
      <c r="AM57" s="10"/>
      <c r="AN57" s="10">
        <v>5</v>
      </c>
      <c r="AO57" s="10">
        <v>5</v>
      </c>
      <c r="AP57" s="10">
        <v>5</v>
      </c>
      <c r="AQ57" s="12">
        <v>3</v>
      </c>
      <c r="AR57" s="12">
        <v>3</v>
      </c>
      <c r="AS57" s="12">
        <v>3</v>
      </c>
      <c r="AT57" s="12">
        <v>3</v>
      </c>
      <c r="AU57" s="12">
        <v>3</v>
      </c>
      <c r="AV57" s="12">
        <v>3</v>
      </c>
      <c r="AW57" s="12">
        <v>3</v>
      </c>
      <c r="AX57" s="12">
        <v>1</v>
      </c>
      <c r="AY57" s="12">
        <v>3</v>
      </c>
      <c r="AZ57" s="12">
        <v>3</v>
      </c>
      <c r="BA57" s="12">
        <v>3</v>
      </c>
      <c r="BB57" s="13">
        <v>293</v>
      </c>
      <c r="BC57" s="13">
        <v>379</v>
      </c>
      <c r="BD57" s="13">
        <v>86</v>
      </c>
      <c r="BE57" s="13">
        <v>0.28999999999999998</v>
      </c>
      <c r="BF57" s="13" t="s">
        <v>209</v>
      </c>
      <c r="BG57" s="13" t="s">
        <v>326</v>
      </c>
      <c r="BI57" s="13" t="s">
        <v>325</v>
      </c>
      <c r="BX57" s="9">
        <f t="shared" si="13"/>
        <v>5</v>
      </c>
      <c r="BY57" s="9">
        <f t="shared" si="14"/>
        <v>5</v>
      </c>
      <c r="BZ57" s="9">
        <f t="shared" si="15"/>
        <v>5</v>
      </c>
      <c r="CA57" s="9">
        <f t="shared" si="16"/>
        <v>5</v>
      </c>
      <c r="CB57" s="9">
        <f t="shared" si="17"/>
        <v>5</v>
      </c>
      <c r="CC57" s="9">
        <f t="shared" si="18"/>
        <v>5</v>
      </c>
      <c r="CD57" s="9">
        <f t="shared" si="6"/>
        <v>5</v>
      </c>
      <c r="CE57" s="21">
        <f t="shared" si="7"/>
        <v>5</v>
      </c>
      <c r="CF57" s="21">
        <f t="shared" si="8"/>
        <v>5</v>
      </c>
      <c r="CG57" s="21">
        <f t="shared" si="9"/>
        <v>5</v>
      </c>
      <c r="CH57" s="21">
        <f t="shared" si="10"/>
        <v>5</v>
      </c>
      <c r="CI57" s="21">
        <f t="shared" si="11"/>
        <v>5</v>
      </c>
      <c r="CJ57" s="21">
        <f t="shared" si="12"/>
        <v>5</v>
      </c>
    </row>
    <row r="58" spans="1:88">
      <c r="A58" s="9">
        <v>57</v>
      </c>
      <c r="B58" s="9" t="s">
        <v>122</v>
      </c>
      <c r="C58" s="9" t="s">
        <v>98</v>
      </c>
      <c r="D58" s="9" t="s">
        <v>73</v>
      </c>
      <c r="E58" s="9" t="s">
        <v>74</v>
      </c>
      <c r="F58" s="9" t="s">
        <v>64</v>
      </c>
      <c r="G58" s="9">
        <v>2020</v>
      </c>
      <c r="H58" s="9" t="s">
        <v>69</v>
      </c>
      <c r="I58" s="9" t="s">
        <v>87</v>
      </c>
      <c r="J58" s="9" t="s">
        <v>69</v>
      </c>
      <c r="K58" s="9" t="s">
        <v>323</v>
      </c>
      <c r="P58" s="10">
        <v>5</v>
      </c>
      <c r="Q58" s="10">
        <v>5</v>
      </c>
      <c r="R58" s="10">
        <v>4</v>
      </c>
      <c r="S58" s="10">
        <v>4</v>
      </c>
      <c r="T58" s="10">
        <v>4.5</v>
      </c>
      <c r="U58" s="10">
        <v>5</v>
      </c>
      <c r="V58" s="10">
        <v>4.583333333333333</v>
      </c>
      <c r="W58" s="11">
        <v>5</v>
      </c>
      <c r="X58" s="11">
        <v>5</v>
      </c>
      <c r="Y58" s="11">
        <v>2</v>
      </c>
      <c r="Z58" s="11">
        <v>5</v>
      </c>
      <c r="AA58" s="11">
        <v>5</v>
      </c>
      <c r="AB58" s="11">
        <v>5</v>
      </c>
      <c r="AC58" s="11">
        <v>4.5</v>
      </c>
      <c r="AD58" s="10"/>
      <c r="AE58" s="10"/>
      <c r="AF58" s="10"/>
      <c r="AG58" s="10"/>
      <c r="AH58" s="10"/>
      <c r="AI58" s="10"/>
      <c r="AJ58" s="10">
        <v>5</v>
      </c>
      <c r="AK58" s="10">
        <v>3</v>
      </c>
      <c r="AL58" s="10">
        <v>5</v>
      </c>
      <c r="AM58" s="10"/>
      <c r="AN58" s="10">
        <v>4</v>
      </c>
      <c r="AO58" s="10"/>
      <c r="AP58" s="10">
        <v>4.5</v>
      </c>
      <c r="AQ58" s="12">
        <v>3</v>
      </c>
      <c r="AR58" s="12">
        <v>3</v>
      </c>
      <c r="AS58" s="12">
        <v>3</v>
      </c>
      <c r="AT58" s="12">
        <v>3</v>
      </c>
      <c r="AU58" s="12">
        <v>2.5</v>
      </c>
      <c r="AV58" s="12">
        <v>2.9</v>
      </c>
      <c r="AW58" s="12">
        <v>3</v>
      </c>
      <c r="AX58" s="12">
        <v>1</v>
      </c>
      <c r="AY58" s="12">
        <v>2</v>
      </c>
      <c r="AZ58" s="12">
        <v>3</v>
      </c>
      <c r="BA58" s="12">
        <v>3</v>
      </c>
      <c r="BB58" s="13">
        <v>335</v>
      </c>
      <c r="BC58" s="13">
        <v>482</v>
      </c>
      <c r="BD58" s="13">
        <v>147</v>
      </c>
      <c r="BE58" s="13">
        <v>0.44</v>
      </c>
      <c r="BF58" s="13" t="s">
        <v>217</v>
      </c>
      <c r="BG58" s="13" t="s">
        <v>324</v>
      </c>
      <c r="BI58" s="13" t="s">
        <v>325</v>
      </c>
      <c r="BX58" s="9">
        <f t="shared" si="13"/>
        <v>2</v>
      </c>
      <c r="BY58" s="9">
        <f t="shared" si="14"/>
        <v>5</v>
      </c>
      <c r="BZ58" s="9">
        <f t="shared" si="15"/>
        <v>4</v>
      </c>
      <c r="CA58" s="9">
        <f t="shared" si="16"/>
        <v>3</v>
      </c>
      <c r="CB58" s="9">
        <f t="shared" si="17"/>
        <v>0</v>
      </c>
      <c r="CC58" s="9">
        <f t="shared" si="18"/>
        <v>4.5</v>
      </c>
      <c r="CD58" s="9">
        <f t="shared" si="6"/>
        <v>0</v>
      </c>
      <c r="CE58" s="21">
        <f t="shared" si="7"/>
        <v>4.5</v>
      </c>
      <c r="CF58" s="21">
        <f t="shared" si="8"/>
        <v>5</v>
      </c>
      <c r="CG58" s="21">
        <f t="shared" si="9"/>
        <v>4.583333333333333</v>
      </c>
      <c r="CH58" s="21">
        <f t="shared" si="10"/>
        <v>4</v>
      </c>
      <c r="CI58" s="21">
        <f t="shared" si="11"/>
        <v>4.5</v>
      </c>
      <c r="CJ58" s="21">
        <f t="shared" si="12"/>
        <v>4.5166666666666666</v>
      </c>
    </row>
    <row r="59" spans="1:88">
      <c r="A59" s="9">
        <v>58</v>
      </c>
      <c r="B59" s="9" t="s">
        <v>122</v>
      </c>
      <c r="C59" s="9" t="s">
        <v>98</v>
      </c>
      <c r="D59" s="9" t="s">
        <v>127</v>
      </c>
      <c r="E59" s="9" t="s">
        <v>74</v>
      </c>
      <c r="F59" s="9" t="s">
        <v>64</v>
      </c>
      <c r="H59" s="9" t="s">
        <v>69</v>
      </c>
      <c r="I59" s="9" t="s">
        <v>87</v>
      </c>
      <c r="J59" s="9" t="s">
        <v>65</v>
      </c>
      <c r="K59" s="9" t="s">
        <v>92</v>
      </c>
      <c r="M59" s="9" t="s">
        <v>70</v>
      </c>
      <c r="P59" s="10">
        <v>4</v>
      </c>
      <c r="Q59" s="10">
        <v>4</v>
      </c>
      <c r="R59" s="10">
        <v>3</v>
      </c>
      <c r="S59" s="10">
        <v>4</v>
      </c>
      <c r="T59" s="10">
        <v>3.5</v>
      </c>
      <c r="U59" s="10">
        <v>4</v>
      </c>
      <c r="V59" s="10">
        <v>3.75</v>
      </c>
      <c r="W59" s="11">
        <v>4</v>
      </c>
      <c r="X59" s="11">
        <v>4</v>
      </c>
      <c r="Y59" s="11">
        <v>4</v>
      </c>
      <c r="Z59" s="11">
        <v>4</v>
      </c>
      <c r="AA59" s="11">
        <v>3.5</v>
      </c>
      <c r="AB59" s="11">
        <v>4</v>
      </c>
      <c r="AC59" s="11">
        <v>3.9166666666666665</v>
      </c>
      <c r="AD59" s="10"/>
      <c r="AE59" s="10"/>
      <c r="AF59" s="10"/>
      <c r="AG59" s="10"/>
      <c r="AH59" s="10"/>
      <c r="AI59" s="10"/>
      <c r="AJ59" s="10"/>
      <c r="AK59" s="10">
        <v>2</v>
      </c>
      <c r="AL59" s="10">
        <v>4</v>
      </c>
      <c r="AM59" s="10"/>
      <c r="AN59" s="10">
        <v>3</v>
      </c>
      <c r="AO59" s="10">
        <v>5</v>
      </c>
      <c r="AP59" s="10">
        <v>5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X59" s="9">
        <f t="shared" si="13"/>
        <v>3.5</v>
      </c>
      <c r="BY59" s="9">
        <f t="shared" si="14"/>
        <v>0</v>
      </c>
      <c r="BZ59" s="9">
        <f t="shared" si="15"/>
        <v>3</v>
      </c>
      <c r="CA59" s="9">
        <f t="shared" si="16"/>
        <v>2</v>
      </c>
      <c r="CB59" s="9">
        <f t="shared" si="17"/>
        <v>5</v>
      </c>
      <c r="CC59" s="9">
        <f t="shared" si="18"/>
        <v>5</v>
      </c>
      <c r="CD59" s="9">
        <f t="shared" si="6"/>
        <v>0</v>
      </c>
      <c r="CE59" s="21">
        <f t="shared" si="7"/>
        <v>3.9166666666666665</v>
      </c>
      <c r="CF59" s="21">
        <f t="shared" si="8"/>
        <v>0</v>
      </c>
      <c r="CG59" s="21">
        <f t="shared" si="9"/>
        <v>3.75</v>
      </c>
      <c r="CH59" s="21">
        <f t="shared" si="10"/>
        <v>3</v>
      </c>
      <c r="CI59" s="21">
        <f t="shared" si="11"/>
        <v>5</v>
      </c>
      <c r="CJ59" s="21">
        <f t="shared" si="12"/>
        <v>3.1333333333333333</v>
      </c>
    </row>
    <row r="60" spans="1:88">
      <c r="A60" s="9">
        <v>59</v>
      </c>
      <c r="B60" s="9" t="s">
        <v>122</v>
      </c>
      <c r="C60" s="9" t="s">
        <v>85</v>
      </c>
      <c r="D60" s="9" t="s">
        <v>128</v>
      </c>
      <c r="G60" s="9">
        <v>2011</v>
      </c>
      <c r="H60" s="9" t="s">
        <v>65</v>
      </c>
      <c r="I60" s="9" t="s">
        <v>87</v>
      </c>
      <c r="J60" s="9" t="s">
        <v>65</v>
      </c>
      <c r="K60" s="9" t="s">
        <v>323</v>
      </c>
      <c r="O60" s="9" t="s">
        <v>70</v>
      </c>
      <c r="P60" s="10">
        <v>3</v>
      </c>
      <c r="Q60" s="10">
        <v>3</v>
      </c>
      <c r="R60" s="10">
        <v>3</v>
      </c>
      <c r="S60" s="10">
        <v>3</v>
      </c>
      <c r="T60" s="10">
        <v>3</v>
      </c>
      <c r="U60" s="10">
        <v>3</v>
      </c>
      <c r="V60" s="10">
        <v>3</v>
      </c>
      <c r="W60" s="11">
        <v>3</v>
      </c>
      <c r="X60" s="11">
        <v>3</v>
      </c>
      <c r="Y60" s="11">
        <v>3</v>
      </c>
      <c r="Z60" s="11">
        <v>3</v>
      </c>
      <c r="AA60" s="11">
        <v>3</v>
      </c>
      <c r="AB60" s="11">
        <v>3</v>
      </c>
      <c r="AC60" s="11">
        <v>3</v>
      </c>
      <c r="AD60" s="10"/>
      <c r="AE60" s="10"/>
      <c r="AF60" s="10"/>
      <c r="AG60" s="10"/>
      <c r="AH60" s="10"/>
      <c r="AI60" s="10"/>
      <c r="AJ60" s="10">
        <v>3</v>
      </c>
      <c r="AK60" s="10">
        <v>1</v>
      </c>
      <c r="AL60" s="10">
        <v>3</v>
      </c>
      <c r="AM60" s="10"/>
      <c r="AN60" s="10">
        <v>2</v>
      </c>
      <c r="AO60" s="10">
        <v>2</v>
      </c>
      <c r="AP60" s="10">
        <v>2.3333333333333335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X60" s="9">
        <f t="shared" si="13"/>
        <v>3</v>
      </c>
      <c r="BY60" s="9">
        <f t="shared" si="14"/>
        <v>3</v>
      </c>
      <c r="BZ60" s="9">
        <f t="shared" si="15"/>
        <v>3</v>
      </c>
      <c r="CA60" s="9">
        <f t="shared" si="16"/>
        <v>1</v>
      </c>
      <c r="CB60" s="9">
        <f t="shared" si="17"/>
        <v>2</v>
      </c>
      <c r="CC60" s="9">
        <f t="shared" si="18"/>
        <v>2.3333333333333335</v>
      </c>
      <c r="CD60" s="9">
        <f t="shared" si="6"/>
        <v>1</v>
      </c>
      <c r="CE60" s="21">
        <f t="shared" si="7"/>
        <v>3</v>
      </c>
      <c r="CF60" s="21">
        <f t="shared" si="8"/>
        <v>3</v>
      </c>
      <c r="CG60" s="21">
        <f t="shared" si="9"/>
        <v>3</v>
      </c>
      <c r="CH60" s="21">
        <f t="shared" si="10"/>
        <v>2</v>
      </c>
      <c r="CI60" s="21">
        <f t="shared" si="11"/>
        <v>2.3333333333333335</v>
      </c>
      <c r="CJ60" s="21">
        <f t="shared" si="12"/>
        <v>2.666666666666667</v>
      </c>
    </row>
    <row r="61" spans="1:88">
      <c r="A61" s="9">
        <v>60</v>
      </c>
      <c r="B61" s="9" t="s">
        <v>129</v>
      </c>
      <c r="D61" s="9" t="s">
        <v>130</v>
      </c>
      <c r="E61" s="9" t="s">
        <v>74</v>
      </c>
      <c r="F61" s="9" t="s">
        <v>64</v>
      </c>
      <c r="G61" s="9">
        <v>2021</v>
      </c>
      <c r="H61" s="9" t="s">
        <v>69</v>
      </c>
      <c r="K61" s="9" t="s">
        <v>92</v>
      </c>
      <c r="M61" s="9" t="s">
        <v>70</v>
      </c>
      <c r="P61" s="10">
        <v>5</v>
      </c>
      <c r="Q61" s="10">
        <v>5</v>
      </c>
      <c r="R61" s="10">
        <v>4</v>
      </c>
      <c r="S61" s="10">
        <v>4.5</v>
      </c>
      <c r="T61" s="10">
        <v>5</v>
      </c>
      <c r="U61" s="10">
        <v>5</v>
      </c>
      <c r="V61" s="10">
        <v>4.75</v>
      </c>
      <c r="W61" s="11">
        <v>5</v>
      </c>
      <c r="X61" s="11">
        <v>5</v>
      </c>
      <c r="Y61" s="11">
        <v>5</v>
      </c>
      <c r="Z61" s="11">
        <v>4.5</v>
      </c>
      <c r="AA61" s="11">
        <v>5</v>
      </c>
      <c r="AB61" s="11">
        <v>5</v>
      </c>
      <c r="AC61" s="11">
        <v>4.916666666666667</v>
      </c>
      <c r="AD61" s="10"/>
      <c r="AE61" s="10"/>
      <c r="AF61" s="10"/>
      <c r="AG61" s="10"/>
      <c r="AH61" s="10"/>
      <c r="AI61" s="10"/>
      <c r="AJ61" s="10"/>
      <c r="AK61" s="10">
        <v>5</v>
      </c>
      <c r="AL61" s="10">
        <v>5</v>
      </c>
      <c r="AM61" s="10">
        <v>5</v>
      </c>
      <c r="AN61" s="10">
        <v>5</v>
      </c>
      <c r="AO61" s="10"/>
      <c r="AP61" s="10">
        <v>5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X61" s="9">
        <f t="shared" si="13"/>
        <v>4.5</v>
      </c>
      <c r="BY61" s="9">
        <f t="shared" si="14"/>
        <v>0</v>
      </c>
      <c r="BZ61" s="9">
        <f t="shared" si="15"/>
        <v>4</v>
      </c>
      <c r="CA61" s="9">
        <f t="shared" si="16"/>
        <v>5</v>
      </c>
      <c r="CB61" s="9">
        <f t="shared" si="17"/>
        <v>0</v>
      </c>
      <c r="CC61" s="9">
        <f t="shared" si="18"/>
        <v>5</v>
      </c>
      <c r="CD61" s="9">
        <f t="shared" si="6"/>
        <v>0</v>
      </c>
      <c r="CE61" s="21">
        <f t="shared" si="7"/>
        <v>4.916666666666667</v>
      </c>
      <c r="CF61" s="21">
        <f t="shared" si="8"/>
        <v>0</v>
      </c>
      <c r="CG61" s="21">
        <f t="shared" si="9"/>
        <v>4.75</v>
      </c>
      <c r="CH61" s="21">
        <f t="shared" si="10"/>
        <v>5</v>
      </c>
      <c r="CI61" s="21">
        <f t="shared" si="11"/>
        <v>5</v>
      </c>
      <c r="CJ61" s="21">
        <f t="shared" si="12"/>
        <v>3.9333333333333336</v>
      </c>
    </row>
    <row r="62" spans="1:88">
      <c r="A62" s="9">
        <v>61</v>
      </c>
      <c r="B62" s="9" t="s">
        <v>129</v>
      </c>
      <c r="D62" s="9" t="s">
        <v>72</v>
      </c>
      <c r="E62" s="9" t="s">
        <v>105</v>
      </c>
      <c r="F62" s="9" t="s">
        <v>78</v>
      </c>
      <c r="H62" s="9" t="s">
        <v>65</v>
      </c>
      <c r="K62" s="9" t="s">
        <v>92</v>
      </c>
      <c r="M62" s="9" t="s">
        <v>70</v>
      </c>
      <c r="P62" s="10">
        <v>4</v>
      </c>
      <c r="Q62" s="10">
        <v>4</v>
      </c>
      <c r="R62" s="10">
        <v>3</v>
      </c>
      <c r="S62" s="10">
        <v>4</v>
      </c>
      <c r="T62" s="10">
        <v>3.5</v>
      </c>
      <c r="U62" s="10">
        <v>3</v>
      </c>
      <c r="V62" s="10">
        <v>3.5833333333333335</v>
      </c>
      <c r="W62" s="11">
        <v>4</v>
      </c>
      <c r="X62" s="11">
        <v>4</v>
      </c>
      <c r="Y62" s="11">
        <v>3</v>
      </c>
      <c r="Z62" s="11">
        <v>4</v>
      </c>
      <c r="AA62" s="11">
        <v>4</v>
      </c>
      <c r="AB62" s="11">
        <v>4</v>
      </c>
      <c r="AC62" s="11">
        <v>3.8333333333333335</v>
      </c>
      <c r="AD62" s="10"/>
      <c r="AE62" s="10"/>
      <c r="AF62" s="10"/>
      <c r="AG62" s="10"/>
      <c r="AH62" s="10"/>
      <c r="AI62" s="10"/>
      <c r="AJ62" s="10"/>
      <c r="AK62" s="10">
        <v>4</v>
      </c>
      <c r="AL62" s="10">
        <v>4</v>
      </c>
      <c r="AM62" s="10">
        <v>4</v>
      </c>
      <c r="AN62" s="10">
        <v>4</v>
      </c>
      <c r="AO62" s="10">
        <v>3.5</v>
      </c>
      <c r="AP62" s="10">
        <v>5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X62" s="9">
        <f t="shared" si="13"/>
        <v>3</v>
      </c>
      <c r="BY62" s="9">
        <f t="shared" si="14"/>
        <v>0</v>
      </c>
      <c r="BZ62" s="9">
        <f t="shared" si="15"/>
        <v>3</v>
      </c>
      <c r="CA62" s="9">
        <f t="shared" si="16"/>
        <v>4</v>
      </c>
      <c r="CB62" s="9">
        <f t="shared" si="17"/>
        <v>3.5</v>
      </c>
      <c r="CC62" s="9">
        <f t="shared" si="18"/>
        <v>5</v>
      </c>
      <c r="CD62" s="9">
        <f t="shared" si="6"/>
        <v>0</v>
      </c>
      <c r="CE62" s="21">
        <f t="shared" si="7"/>
        <v>3.8333333333333335</v>
      </c>
      <c r="CF62" s="21">
        <f t="shared" si="8"/>
        <v>0</v>
      </c>
      <c r="CG62" s="21">
        <f t="shared" si="9"/>
        <v>3.5833333333333335</v>
      </c>
      <c r="CH62" s="21">
        <f t="shared" si="10"/>
        <v>4</v>
      </c>
      <c r="CI62" s="21">
        <f t="shared" si="11"/>
        <v>5</v>
      </c>
      <c r="CJ62" s="21">
        <f t="shared" si="12"/>
        <v>3.2833333333333337</v>
      </c>
    </row>
    <row r="63" spans="1:88">
      <c r="A63" s="9">
        <v>62</v>
      </c>
      <c r="B63" s="9" t="s">
        <v>129</v>
      </c>
      <c r="D63" s="9" t="s">
        <v>131</v>
      </c>
      <c r="E63" s="9" t="s">
        <v>105</v>
      </c>
      <c r="F63" s="9" t="s">
        <v>78</v>
      </c>
      <c r="G63" s="9">
        <v>2018</v>
      </c>
      <c r="H63" s="9" t="s">
        <v>69</v>
      </c>
      <c r="J63" s="9" t="s">
        <v>69</v>
      </c>
      <c r="K63" s="9" t="s">
        <v>92</v>
      </c>
      <c r="M63" s="9" t="s">
        <v>70</v>
      </c>
      <c r="P63" s="10">
        <v>4</v>
      </c>
      <c r="Q63" s="10">
        <v>4</v>
      </c>
      <c r="R63" s="10">
        <v>3</v>
      </c>
      <c r="S63" s="10">
        <v>4</v>
      </c>
      <c r="T63" s="10">
        <v>4</v>
      </c>
      <c r="U63" s="10">
        <v>4</v>
      </c>
      <c r="V63" s="10">
        <v>3.8333333333333335</v>
      </c>
      <c r="W63" s="11">
        <v>4</v>
      </c>
      <c r="X63" s="11">
        <v>4</v>
      </c>
      <c r="Y63" s="11">
        <v>4</v>
      </c>
      <c r="Z63" s="11">
        <v>4</v>
      </c>
      <c r="AA63" s="11">
        <v>4</v>
      </c>
      <c r="AB63" s="11">
        <v>4</v>
      </c>
      <c r="AC63" s="11">
        <v>4</v>
      </c>
      <c r="AD63" s="10"/>
      <c r="AE63" s="10"/>
      <c r="AF63" s="10"/>
      <c r="AG63" s="10"/>
      <c r="AH63" s="10"/>
      <c r="AI63" s="10"/>
      <c r="AJ63" s="10"/>
      <c r="AK63" s="10">
        <v>5</v>
      </c>
      <c r="AL63" s="10"/>
      <c r="AM63" s="10"/>
      <c r="AN63" s="10">
        <v>5</v>
      </c>
      <c r="AO63" s="10"/>
      <c r="AP63" s="10">
        <v>5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X63" s="9">
        <f t="shared" si="13"/>
        <v>4</v>
      </c>
      <c r="BY63" s="9">
        <f t="shared" si="14"/>
        <v>0</v>
      </c>
      <c r="BZ63" s="9">
        <f t="shared" si="15"/>
        <v>3</v>
      </c>
      <c r="CA63" s="9">
        <f t="shared" si="16"/>
        <v>5</v>
      </c>
      <c r="CB63" s="9">
        <f t="shared" si="17"/>
        <v>0</v>
      </c>
      <c r="CC63" s="9">
        <f t="shared" si="18"/>
        <v>5</v>
      </c>
      <c r="CD63" s="9">
        <f t="shared" si="6"/>
        <v>0</v>
      </c>
      <c r="CE63" s="21">
        <f t="shared" si="7"/>
        <v>4</v>
      </c>
      <c r="CF63" s="21">
        <f t="shared" si="8"/>
        <v>0</v>
      </c>
      <c r="CG63" s="21">
        <f t="shared" si="9"/>
        <v>3.8333333333333335</v>
      </c>
      <c r="CH63" s="21">
        <f t="shared" si="10"/>
        <v>5</v>
      </c>
      <c r="CI63" s="21">
        <f t="shared" si="11"/>
        <v>5</v>
      </c>
      <c r="CJ63" s="21">
        <f t="shared" si="12"/>
        <v>3.5666666666666673</v>
      </c>
    </row>
    <row r="64" spans="1:88">
      <c r="A64" s="9">
        <v>63</v>
      </c>
      <c r="B64" s="9" t="s">
        <v>129</v>
      </c>
      <c r="D64" s="9" t="s">
        <v>132</v>
      </c>
      <c r="E64" s="9" t="s">
        <v>74</v>
      </c>
      <c r="F64" s="9" t="s">
        <v>64</v>
      </c>
      <c r="G64" s="9">
        <v>2022</v>
      </c>
      <c r="H64" s="9" t="s">
        <v>69</v>
      </c>
      <c r="J64" s="9" t="s">
        <v>69</v>
      </c>
      <c r="K64" s="9" t="s">
        <v>92</v>
      </c>
      <c r="M64" s="9" t="s">
        <v>70</v>
      </c>
      <c r="P64" s="10">
        <v>3.5</v>
      </c>
      <c r="Q64" s="10">
        <v>3</v>
      </c>
      <c r="R64" s="10">
        <v>3</v>
      </c>
      <c r="S64" s="10">
        <v>3.5</v>
      </c>
      <c r="T64" s="10">
        <v>3.5</v>
      </c>
      <c r="U64" s="10">
        <v>3</v>
      </c>
      <c r="V64" s="10">
        <v>3.25</v>
      </c>
      <c r="W64" s="11">
        <v>4</v>
      </c>
      <c r="X64" s="11">
        <v>4</v>
      </c>
      <c r="Y64" s="11">
        <v>4</v>
      </c>
      <c r="Z64" s="11">
        <v>4</v>
      </c>
      <c r="AA64" s="11">
        <v>4</v>
      </c>
      <c r="AB64" s="11">
        <v>4</v>
      </c>
      <c r="AC64" s="11">
        <v>4</v>
      </c>
      <c r="AD64" s="10"/>
      <c r="AE64" s="10"/>
      <c r="AF64" s="10"/>
      <c r="AG64" s="10"/>
      <c r="AH64" s="10"/>
      <c r="AI64" s="10"/>
      <c r="AJ64" s="10"/>
      <c r="AK64" s="10"/>
      <c r="AL64" s="10">
        <v>5</v>
      </c>
      <c r="AM64" s="10">
        <v>5</v>
      </c>
      <c r="AN64" s="10">
        <v>5</v>
      </c>
      <c r="AO64" s="10">
        <v>3.5</v>
      </c>
      <c r="AP64" s="10">
        <v>5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X64" s="9">
        <f t="shared" si="13"/>
        <v>4</v>
      </c>
      <c r="BY64" s="9">
        <f t="shared" si="14"/>
        <v>0</v>
      </c>
      <c r="BZ64" s="9">
        <f t="shared" si="15"/>
        <v>3</v>
      </c>
      <c r="CA64" s="9">
        <f t="shared" si="16"/>
        <v>5</v>
      </c>
      <c r="CB64" s="9">
        <f t="shared" si="17"/>
        <v>3.5</v>
      </c>
      <c r="CC64" s="9">
        <f t="shared" si="18"/>
        <v>5</v>
      </c>
      <c r="CD64" s="9">
        <f t="shared" si="6"/>
        <v>0</v>
      </c>
      <c r="CE64" s="21">
        <f t="shared" si="7"/>
        <v>4</v>
      </c>
      <c r="CF64" s="21">
        <f t="shared" si="8"/>
        <v>0</v>
      </c>
      <c r="CG64" s="21">
        <f t="shared" si="9"/>
        <v>3.25</v>
      </c>
      <c r="CH64" s="21">
        <f t="shared" si="10"/>
        <v>5</v>
      </c>
      <c r="CI64" s="21">
        <f t="shared" si="11"/>
        <v>5</v>
      </c>
      <c r="CJ64" s="21">
        <f t="shared" si="12"/>
        <v>3.45</v>
      </c>
    </row>
    <row r="65" spans="1:88">
      <c r="A65" s="9">
        <v>64</v>
      </c>
      <c r="B65" s="9" t="s">
        <v>129</v>
      </c>
      <c r="C65" s="9" t="s">
        <v>85</v>
      </c>
      <c r="D65" s="9" t="s">
        <v>72</v>
      </c>
      <c r="E65" s="9" t="s">
        <v>63</v>
      </c>
      <c r="F65" s="9" t="s">
        <v>78</v>
      </c>
      <c r="G65" s="9">
        <v>2017</v>
      </c>
      <c r="H65" s="9" t="s">
        <v>65</v>
      </c>
      <c r="I65" s="9" t="s">
        <v>87</v>
      </c>
      <c r="J65" s="9" t="s">
        <v>69</v>
      </c>
      <c r="K65" s="9" t="s">
        <v>323</v>
      </c>
      <c r="N65" s="9" t="s">
        <v>70</v>
      </c>
      <c r="P65" s="10">
        <v>4</v>
      </c>
      <c r="Q65" s="10">
        <v>4</v>
      </c>
      <c r="R65" s="10">
        <v>4</v>
      </c>
      <c r="S65" s="10">
        <v>3.5</v>
      </c>
      <c r="T65" s="10">
        <v>4</v>
      </c>
      <c r="U65" s="10">
        <v>4</v>
      </c>
      <c r="V65" s="10">
        <v>3.9166666666666665</v>
      </c>
      <c r="W65" s="11">
        <v>4</v>
      </c>
      <c r="X65" s="11">
        <v>5</v>
      </c>
      <c r="Y65" s="11">
        <v>4</v>
      </c>
      <c r="Z65" s="11">
        <v>4.5</v>
      </c>
      <c r="AA65" s="11">
        <v>5</v>
      </c>
      <c r="AB65" s="11">
        <v>4</v>
      </c>
      <c r="AC65" s="11">
        <v>4.416666666666667</v>
      </c>
      <c r="AD65" s="10"/>
      <c r="AE65" s="10"/>
      <c r="AF65" s="10"/>
      <c r="AG65" s="10"/>
      <c r="AH65" s="10"/>
      <c r="AI65" s="10"/>
      <c r="AJ65" s="10">
        <v>4</v>
      </c>
      <c r="AK65" s="10">
        <v>3</v>
      </c>
      <c r="AL65" s="10">
        <v>4</v>
      </c>
      <c r="AM65" s="10">
        <v>5</v>
      </c>
      <c r="AN65" s="10">
        <v>4</v>
      </c>
      <c r="AO65" s="10">
        <v>5</v>
      </c>
      <c r="AP65" s="10">
        <v>5</v>
      </c>
      <c r="AQ65" s="12">
        <v>3</v>
      </c>
      <c r="AR65" s="12">
        <v>1</v>
      </c>
      <c r="AS65" s="12">
        <v>3</v>
      </c>
      <c r="AT65" s="12">
        <v>3</v>
      </c>
      <c r="AU65" s="12">
        <v>2</v>
      </c>
      <c r="AV65" s="12">
        <v>2.4</v>
      </c>
      <c r="AW65" s="12">
        <v>2</v>
      </c>
      <c r="AX65" s="12">
        <v>2</v>
      </c>
      <c r="AY65" s="12">
        <v>3</v>
      </c>
      <c r="AZ65" s="12">
        <v>3</v>
      </c>
      <c r="BA65" s="12">
        <v>3</v>
      </c>
      <c r="BB65" s="13">
        <v>833</v>
      </c>
      <c r="BC65" s="13">
        <v>1119</v>
      </c>
      <c r="BD65" s="13">
        <v>286</v>
      </c>
      <c r="BE65" s="13">
        <v>0.34</v>
      </c>
      <c r="BF65" s="13" t="s">
        <v>217</v>
      </c>
      <c r="BG65" s="13" t="s">
        <v>324</v>
      </c>
      <c r="BH65" s="13" t="s">
        <v>327</v>
      </c>
      <c r="BX65" s="9">
        <f t="shared" si="13"/>
        <v>4</v>
      </c>
      <c r="BY65" s="9">
        <f t="shared" si="14"/>
        <v>4</v>
      </c>
      <c r="BZ65" s="9">
        <f t="shared" si="15"/>
        <v>3.5</v>
      </c>
      <c r="CA65" s="9">
        <f t="shared" si="16"/>
        <v>3</v>
      </c>
      <c r="CB65" s="9">
        <f t="shared" si="17"/>
        <v>5</v>
      </c>
      <c r="CC65" s="9">
        <f t="shared" si="18"/>
        <v>5</v>
      </c>
      <c r="CD65" s="9">
        <f t="shared" si="6"/>
        <v>3</v>
      </c>
      <c r="CE65" s="21">
        <f t="shared" si="7"/>
        <v>4.416666666666667</v>
      </c>
      <c r="CF65" s="21">
        <f t="shared" si="8"/>
        <v>4</v>
      </c>
      <c r="CG65" s="21">
        <f t="shared" si="9"/>
        <v>3.9166666666666665</v>
      </c>
      <c r="CH65" s="21">
        <f t="shared" si="10"/>
        <v>4</v>
      </c>
      <c r="CI65" s="21">
        <f t="shared" si="11"/>
        <v>5</v>
      </c>
      <c r="CJ65" s="21">
        <f t="shared" si="12"/>
        <v>4.2666666666666675</v>
      </c>
    </row>
    <row r="66" spans="1:88">
      <c r="A66" s="9">
        <v>65</v>
      </c>
      <c r="B66" s="9" t="s">
        <v>129</v>
      </c>
      <c r="D66" s="9" t="s">
        <v>133</v>
      </c>
      <c r="E66" s="9" t="s">
        <v>105</v>
      </c>
      <c r="H66" s="9" t="s">
        <v>65</v>
      </c>
      <c r="I66" s="9" t="s">
        <v>87</v>
      </c>
      <c r="K66" s="9" t="s">
        <v>332</v>
      </c>
      <c r="P66" s="10">
        <v>5</v>
      </c>
      <c r="Q66" s="10">
        <v>5</v>
      </c>
      <c r="R66" s="10">
        <v>5</v>
      </c>
      <c r="S66" s="10">
        <v>4</v>
      </c>
      <c r="T66" s="10">
        <v>5</v>
      </c>
      <c r="U66" s="10">
        <v>4</v>
      </c>
      <c r="V66" s="10">
        <v>4.666666666666667</v>
      </c>
      <c r="W66" s="11"/>
      <c r="X66" s="11"/>
      <c r="Y66" s="11"/>
      <c r="Z66" s="11"/>
      <c r="AA66" s="11"/>
      <c r="AB66" s="11"/>
      <c r="AC66" s="11"/>
      <c r="AD66" s="10"/>
      <c r="AE66" s="10"/>
      <c r="AF66" s="10"/>
      <c r="AG66" s="10"/>
      <c r="AH66" s="10"/>
      <c r="AI66" s="10"/>
      <c r="AJ66" s="10"/>
      <c r="AK66" s="10">
        <v>1</v>
      </c>
      <c r="AL66" s="10">
        <v>5</v>
      </c>
      <c r="AM66" s="10"/>
      <c r="AN66" s="10">
        <v>3</v>
      </c>
      <c r="AO66" s="10"/>
      <c r="AP66" s="10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X66" s="9">
        <f>_xlfn.MINIFS(W66:AB66, W66:AB66, "&gt;")</f>
        <v>0</v>
      </c>
      <c r="BY66" s="9">
        <f>_xlfn.MINIFS(AD66:AJ66, AD66:AJ66, "&gt; ")</f>
        <v>0</v>
      </c>
      <c r="BZ66" s="9">
        <f t="shared" si="15"/>
        <v>4</v>
      </c>
      <c r="CA66" s="9">
        <f t="shared" si="16"/>
        <v>1</v>
      </c>
      <c r="CB66" s="9">
        <f t="shared" si="17"/>
        <v>0</v>
      </c>
      <c r="CC66" s="9">
        <f t="shared" si="18"/>
        <v>0</v>
      </c>
      <c r="CD66" s="9">
        <f t="shared" si="6"/>
        <v>0</v>
      </c>
      <c r="CE66" s="21">
        <f t="shared" si="7"/>
        <v>0</v>
      </c>
      <c r="CF66" s="21">
        <f t="shared" si="8"/>
        <v>0</v>
      </c>
      <c r="CG66" s="21">
        <f t="shared" si="9"/>
        <v>4.666666666666667</v>
      </c>
      <c r="CH66" s="21">
        <f t="shared" si="10"/>
        <v>3</v>
      </c>
      <c r="CI66" s="21">
        <f t="shared" si="11"/>
        <v>0</v>
      </c>
      <c r="CJ66" s="21">
        <f t="shared" si="12"/>
        <v>1.5333333333333334</v>
      </c>
    </row>
    <row r="67" spans="1:88">
      <c r="A67" s="9">
        <v>66</v>
      </c>
      <c r="B67" s="9" t="s">
        <v>129</v>
      </c>
      <c r="D67" s="9" t="s">
        <v>75</v>
      </c>
      <c r="E67" s="9" t="s">
        <v>63</v>
      </c>
      <c r="F67" s="9" t="s">
        <v>78</v>
      </c>
      <c r="G67" s="9">
        <v>2019</v>
      </c>
      <c r="H67" s="9" t="s">
        <v>69</v>
      </c>
      <c r="I67" s="9" t="s">
        <v>87</v>
      </c>
      <c r="K67" s="9" t="s">
        <v>92</v>
      </c>
      <c r="M67" s="9" t="s">
        <v>70</v>
      </c>
      <c r="P67" s="10">
        <v>5</v>
      </c>
      <c r="Q67" s="10">
        <v>5</v>
      </c>
      <c r="R67" s="10">
        <v>5</v>
      </c>
      <c r="S67" s="10">
        <v>5</v>
      </c>
      <c r="T67" s="10">
        <v>4.5</v>
      </c>
      <c r="U67" s="10">
        <v>5</v>
      </c>
      <c r="V67" s="10">
        <v>4.916666666666667</v>
      </c>
      <c r="W67" s="11">
        <v>4</v>
      </c>
      <c r="X67" s="11">
        <v>5</v>
      </c>
      <c r="Y67" s="11">
        <v>5</v>
      </c>
      <c r="Z67" s="11">
        <v>5</v>
      </c>
      <c r="AA67" s="11">
        <v>5</v>
      </c>
      <c r="AB67" s="11">
        <v>5</v>
      </c>
      <c r="AC67" s="11">
        <v>4.833333333333333</v>
      </c>
      <c r="AD67" s="10"/>
      <c r="AE67" s="10"/>
      <c r="AF67" s="10"/>
      <c r="AG67" s="10"/>
      <c r="AH67" s="10"/>
      <c r="AI67" s="10"/>
      <c r="AJ67" s="10"/>
      <c r="AK67" s="10">
        <v>5</v>
      </c>
      <c r="AL67" s="10">
        <v>5</v>
      </c>
      <c r="AM67" s="10">
        <v>5</v>
      </c>
      <c r="AN67" s="10">
        <v>5</v>
      </c>
      <c r="AO67" s="10">
        <v>5</v>
      </c>
      <c r="AP67" s="10">
        <v>5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X67" s="9">
        <f t="shared" ref="BX67:BX130" si="19">_xlfn.MINIFS(W67:AB67, W67:AB67, "&gt;0")</f>
        <v>4</v>
      </c>
      <c r="BY67" s="9">
        <f t="shared" ref="BY67:BY130" si="20">_xlfn.MINIFS(AD67:AJ67, AD67:AJ67, "&gt;0")</f>
        <v>0</v>
      </c>
      <c r="BZ67" s="9">
        <f t="shared" ref="BZ67:BZ130" si="21">_xlfn.MINIFS(P67:U67, P67:U67, "&gt;0")</f>
        <v>4.5</v>
      </c>
      <c r="CA67" s="9">
        <f t="shared" ref="CA67:CA130" si="22">_xlfn.MINIFS(AK67:AM67, AK67:AM67, "&gt;0")</f>
        <v>5</v>
      </c>
      <c r="CB67" s="9">
        <f t="shared" ref="CB67:CB130" si="23">_xlfn.MINIFS(AO67, AO67, "&gt;0")</f>
        <v>5</v>
      </c>
      <c r="CC67" s="9">
        <f t="shared" ref="CC67:CC130" si="24">_xlfn.MINIFS(AP67, AP67, "&gt;0")</f>
        <v>5</v>
      </c>
      <c r="CD67" s="9">
        <f t="shared" ref="CD67:CD130" si="25">MIN(BX67:CC67)</f>
        <v>0</v>
      </c>
      <c r="CE67" s="21">
        <f t="shared" ref="CE67:CE130" si="26">AC67</f>
        <v>4.833333333333333</v>
      </c>
      <c r="CF67" s="21">
        <f t="shared" ref="CF67:CF130" si="27">AJ67</f>
        <v>0</v>
      </c>
      <c r="CG67" s="21">
        <f t="shared" ref="CG67:CG130" si="28">V67</f>
        <v>4.916666666666667</v>
      </c>
      <c r="CH67" s="21">
        <f t="shared" ref="CH67:CH130" si="29">AN67</f>
        <v>5</v>
      </c>
      <c r="CI67" s="21">
        <f t="shared" ref="CI67:CI130" si="30">AP67</f>
        <v>5</v>
      </c>
      <c r="CJ67" s="21">
        <f t="shared" ref="CJ67:CJ130" si="31">AVERAGE(CE67:CI67)</f>
        <v>3.95</v>
      </c>
    </row>
    <row r="68" spans="1:88">
      <c r="A68" s="9">
        <v>67</v>
      </c>
      <c r="B68" s="9" t="s">
        <v>129</v>
      </c>
      <c r="C68" s="9" t="s">
        <v>98</v>
      </c>
      <c r="D68" s="9" t="s">
        <v>75</v>
      </c>
      <c r="E68" s="9" t="s">
        <v>78</v>
      </c>
      <c r="F68" s="9" t="s">
        <v>78</v>
      </c>
      <c r="H68" s="9" t="s">
        <v>69</v>
      </c>
      <c r="I68" s="9" t="s">
        <v>83</v>
      </c>
      <c r="J68" s="9" t="s">
        <v>65</v>
      </c>
      <c r="K68" s="9" t="s">
        <v>92</v>
      </c>
      <c r="L68" s="9" t="s">
        <v>70</v>
      </c>
      <c r="N68" s="9" t="s">
        <v>70</v>
      </c>
      <c r="P68" s="10">
        <v>4</v>
      </c>
      <c r="Q68" s="10">
        <v>4</v>
      </c>
      <c r="R68" s="10">
        <v>4</v>
      </c>
      <c r="S68" s="10">
        <v>3.5</v>
      </c>
      <c r="T68" s="10">
        <v>3.5</v>
      </c>
      <c r="U68" s="10">
        <v>4</v>
      </c>
      <c r="V68" s="10">
        <v>3.8333333333333335</v>
      </c>
      <c r="W68" s="11">
        <v>4</v>
      </c>
      <c r="X68" s="11">
        <v>4</v>
      </c>
      <c r="Y68" s="11">
        <v>4</v>
      </c>
      <c r="Z68" s="11">
        <v>4</v>
      </c>
      <c r="AA68" s="11">
        <v>4</v>
      </c>
      <c r="AB68" s="11">
        <v>4</v>
      </c>
      <c r="AC68" s="11">
        <v>4</v>
      </c>
      <c r="AD68" s="10"/>
      <c r="AE68" s="10"/>
      <c r="AF68" s="10"/>
      <c r="AG68" s="10"/>
      <c r="AH68" s="10"/>
      <c r="AI68" s="10"/>
      <c r="AJ68" s="10"/>
      <c r="AK68" s="10">
        <v>3</v>
      </c>
      <c r="AL68" s="10">
        <v>3</v>
      </c>
      <c r="AM68" s="10">
        <v>3</v>
      </c>
      <c r="AN68" s="10">
        <v>3</v>
      </c>
      <c r="AO68" s="10">
        <v>4</v>
      </c>
      <c r="AP68" s="10">
        <v>5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X68" s="9">
        <f t="shared" si="19"/>
        <v>4</v>
      </c>
      <c r="BY68" s="9">
        <f t="shared" si="20"/>
        <v>0</v>
      </c>
      <c r="BZ68" s="9">
        <f t="shared" si="21"/>
        <v>3.5</v>
      </c>
      <c r="CA68" s="9">
        <f t="shared" si="22"/>
        <v>3</v>
      </c>
      <c r="CB68" s="9">
        <f t="shared" si="23"/>
        <v>4</v>
      </c>
      <c r="CC68" s="9">
        <f t="shared" si="24"/>
        <v>5</v>
      </c>
      <c r="CD68" s="9">
        <f t="shared" si="25"/>
        <v>0</v>
      </c>
      <c r="CE68" s="21">
        <f t="shared" si="26"/>
        <v>4</v>
      </c>
      <c r="CF68" s="21">
        <f t="shared" si="27"/>
        <v>0</v>
      </c>
      <c r="CG68" s="21">
        <f t="shared" si="28"/>
        <v>3.8333333333333335</v>
      </c>
      <c r="CH68" s="21">
        <f t="shared" si="29"/>
        <v>3</v>
      </c>
      <c r="CI68" s="21">
        <f t="shared" si="30"/>
        <v>5</v>
      </c>
      <c r="CJ68" s="21">
        <f t="shared" si="31"/>
        <v>3.166666666666667</v>
      </c>
    </row>
    <row r="69" spans="1:88">
      <c r="A69" s="9">
        <v>68</v>
      </c>
      <c r="B69" s="9" t="s">
        <v>114</v>
      </c>
      <c r="C69" s="9" t="s">
        <v>98</v>
      </c>
      <c r="D69" s="9" t="s">
        <v>72</v>
      </c>
      <c r="E69" s="9" t="s">
        <v>105</v>
      </c>
      <c r="F69" s="9" t="s">
        <v>78</v>
      </c>
      <c r="G69" s="9">
        <v>2018</v>
      </c>
      <c r="H69" s="9" t="s">
        <v>69</v>
      </c>
      <c r="I69" s="9" t="s">
        <v>87</v>
      </c>
      <c r="K69" s="9" t="s">
        <v>322</v>
      </c>
      <c r="N69" s="9" t="s">
        <v>70</v>
      </c>
      <c r="P69" s="10">
        <v>5</v>
      </c>
      <c r="Q69" s="10">
        <v>5</v>
      </c>
      <c r="R69" s="10">
        <v>5</v>
      </c>
      <c r="S69" s="10">
        <v>5</v>
      </c>
      <c r="T69" s="10">
        <v>5</v>
      </c>
      <c r="U69" s="10">
        <v>5</v>
      </c>
      <c r="V69" s="10">
        <v>5</v>
      </c>
      <c r="W69" s="11">
        <v>5</v>
      </c>
      <c r="X69" s="11">
        <v>5</v>
      </c>
      <c r="Y69" s="11">
        <v>5</v>
      </c>
      <c r="Z69" s="11">
        <v>5</v>
      </c>
      <c r="AA69" s="11">
        <v>5</v>
      </c>
      <c r="AB69" s="11">
        <v>5</v>
      </c>
      <c r="AC69" s="11">
        <v>5</v>
      </c>
      <c r="AD69" s="10"/>
      <c r="AE69" s="10"/>
      <c r="AF69" s="10"/>
      <c r="AG69" s="10"/>
      <c r="AH69" s="10"/>
      <c r="AI69" s="10"/>
      <c r="AJ69" s="10"/>
      <c r="AK69" s="10">
        <v>5</v>
      </c>
      <c r="AL69" s="10">
        <v>5</v>
      </c>
      <c r="AM69" s="10">
        <v>5</v>
      </c>
      <c r="AN69" s="10">
        <v>5</v>
      </c>
      <c r="AO69" s="10">
        <v>5</v>
      </c>
      <c r="AP69" s="10">
        <v>5</v>
      </c>
      <c r="AQ69" s="12">
        <v>2</v>
      </c>
      <c r="AR69" s="12">
        <v>3</v>
      </c>
      <c r="AS69" s="12">
        <v>3</v>
      </c>
      <c r="AT69" s="12">
        <v>3</v>
      </c>
      <c r="AU69" s="12">
        <v>3</v>
      </c>
      <c r="AV69" s="12">
        <v>2.8</v>
      </c>
      <c r="AW69" s="12">
        <v>3</v>
      </c>
      <c r="AX69" s="12">
        <v>2</v>
      </c>
      <c r="AY69" s="12">
        <v>3</v>
      </c>
      <c r="AZ69" s="12">
        <v>3</v>
      </c>
      <c r="BA69" s="12">
        <v>3</v>
      </c>
      <c r="BB69" s="13">
        <v>359</v>
      </c>
      <c r="BC69" s="13">
        <v>598</v>
      </c>
      <c r="BD69" s="13">
        <v>239</v>
      </c>
      <c r="BE69" s="13">
        <v>0.67</v>
      </c>
      <c r="BF69" s="13" t="s">
        <v>209</v>
      </c>
      <c r="BG69" s="13" t="s">
        <v>326</v>
      </c>
      <c r="BI69" s="13" t="s">
        <v>325</v>
      </c>
      <c r="BX69" s="9">
        <f t="shared" si="19"/>
        <v>5</v>
      </c>
      <c r="BY69" s="9">
        <f t="shared" si="20"/>
        <v>0</v>
      </c>
      <c r="BZ69" s="9">
        <f t="shared" si="21"/>
        <v>5</v>
      </c>
      <c r="CA69" s="9">
        <f t="shared" si="22"/>
        <v>5</v>
      </c>
      <c r="CB69" s="9">
        <f t="shared" si="23"/>
        <v>5</v>
      </c>
      <c r="CC69" s="9">
        <f t="shared" si="24"/>
        <v>5</v>
      </c>
      <c r="CD69" s="9">
        <f t="shared" si="25"/>
        <v>0</v>
      </c>
      <c r="CE69" s="21">
        <f t="shared" si="26"/>
        <v>5</v>
      </c>
      <c r="CF69" s="21">
        <f t="shared" si="27"/>
        <v>0</v>
      </c>
      <c r="CG69" s="21">
        <f t="shared" si="28"/>
        <v>5</v>
      </c>
      <c r="CH69" s="21">
        <f t="shared" si="29"/>
        <v>5</v>
      </c>
      <c r="CI69" s="21">
        <f t="shared" si="30"/>
        <v>5</v>
      </c>
      <c r="CJ69" s="21">
        <f t="shared" si="31"/>
        <v>4</v>
      </c>
    </row>
    <row r="70" spans="1:88">
      <c r="A70" s="9">
        <v>69</v>
      </c>
      <c r="B70" s="9" t="s">
        <v>114</v>
      </c>
      <c r="C70" s="9" t="s">
        <v>98</v>
      </c>
      <c r="D70" s="9" t="s">
        <v>96</v>
      </c>
      <c r="E70" s="9" t="s">
        <v>63</v>
      </c>
      <c r="F70" s="9" t="s">
        <v>78</v>
      </c>
      <c r="G70" s="9">
        <v>2019</v>
      </c>
      <c r="H70" s="9" t="s">
        <v>69</v>
      </c>
      <c r="I70" s="9" t="s">
        <v>87</v>
      </c>
      <c r="J70" s="9" t="s">
        <v>69</v>
      </c>
      <c r="K70" s="9" t="s">
        <v>323</v>
      </c>
      <c r="N70" s="9" t="s">
        <v>70</v>
      </c>
      <c r="P70" s="10">
        <v>5</v>
      </c>
      <c r="Q70" s="10">
        <v>5</v>
      </c>
      <c r="R70" s="10">
        <v>5</v>
      </c>
      <c r="S70" s="10">
        <v>5</v>
      </c>
      <c r="T70" s="10">
        <v>5</v>
      </c>
      <c r="U70" s="10">
        <v>5</v>
      </c>
      <c r="V70" s="10">
        <v>5</v>
      </c>
      <c r="W70" s="11">
        <v>5</v>
      </c>
      <c r="X70" s="11">
        <v>5</v>
      </c>
      <c r="Y70" s="11">
        <v>5</v>
      </c>
      <c r="Z70" s="11">
        <v>5</v>
      </c>
      <c r="AA70" s="11">
        <v>5</v>
      </c>
      <c r="AB70" s="11">
        <v>5</v>
      </c>
      <c r="AC70" s="11">
        <v>5</v>
      </c>
      <c r="AD70" s="10"/>
      <c r="AE70" s="10"/>
      <c r="AF70" s="10"/>
      <c r="AG70" s="10"/>
      <c r="AH70" s="10"/>
      <c r="AI70" s="10"/>
      <c r="AJ70" s="10"/>
      <c r="AK70" s="10">
        <v>5</v>
      </c>
      <c r="AL70" s="10">
        <v>5</v>
      </c>
      <c r="AM70" s="10">
        <v>5</v>
      </c>
      <c r="AN70" s="10">
        <v>5</v>
      </c>
      <c r="AO70" s="10">
        <v>5</v>
      </c>
      <c r="AP70" s="10">
        <v>5</v>
      </c>
      <c r="AQ70" s="12">
        <v>3</v>
      </c>
      <c r="AR70" s="12">
        <v>3</v>
      </c>
      <c r="AS70" s="12">
        <v>3</v>
      </c>
      <c r="AT70" s="12">
        <v>3</v>
      </c>
      <c r="AU70" s="12">
        <v>2</v>
      </c>
      <c r="AV70" s="12">
        <v>2.8</v>
      </c>
      <c r="AW70" s="12">
        <v>2</v>
      </c>
      <c r="AX70" s="12">
        <v>1</v>
      </c>
      <c r="AY70" s="12">
        <v>3</v>
      </c>
      <c r="AZ70" s="12">
        <v>1</v>
      </c>
      <c r="BA70" s="12">
        <v>3</v>
      </c>
      <c r="BB70" s="13">
        <v>528</v>
      </c>
      <c r="BC70" s="13">
        <v>623</v>
      </c>
      <c r="BD70" s="13">
        <v>95</v>
      </c>
      <c r="BE70" s="13">
        <v>0.18</v>
      </c>
      <c r="BF70" s="13" t="s">
        <v>209</v>
      </c>
      <c r="BG70" s="13" t="s">
        <v>326</v>
      </c>
      <c r="BI70" s="13" t="s">
        <v>325</v>
      </c>
      <c r="BX70" s="9">
        <f t="shared" si="19"/>
        <v>5</v>
      </c>
      <c r="BY70" s="9">
        <f t="shared" si="20"/>
        <v>0</v>
      </c>
      <c r="BZ70" s="9">
        <f t="shared" si="21"/>
        <v>5</v>
      </c>
      <c r="CA70" s="9">
        <f t="shared" si="22"/>
        <v>5</v>
      </c>
      <c r="CB70" s="9">
        <f t="shared" si="23"/>
        <v>5</v>
      </c>
      <c r="CC70" s="9">
        <f t="shared" si="24"/>
        <v>5</v>
      </c>
      <c r="CD70" s="9">
        <f t="shared" si="25"/>
        <v>0</v>
      </c>
      <c r="CE70" s="21">
        <f t="shared" si="26"/>
        <v>5</v>
      </c>
      <c r="CF70" s="21">
        <f t="shared" si="27"/>
        <v>0</v>
      </c>
      <c r="CG70" s="21">
        <f t="shared" si="28"/>
        <v>5</v>
      </c>
      <c r="CH70" s="21">
        <f t="shared" si="29"/>
        <v>5</v>
      </c>
      <c r="CI70" s="21">
        <f t="shared" si="30"/>
        <v>5</v>
      </c>
      <c r="CJ70" s="21">
        <f t="shared" si="31"/>
        <v>4</v>
      </c>
    </row>
    <row r="71" spans="1:88">
      <c r="A71" s="9">
        <v>70</v>
      </c>
      <c r="B71" s="9" t="s">
        <v>114</v>
      </c>
      <c r="D71" s="9" t="s">
        <v>131</v>
      </c>
      <c r="E71" s="9" t="s">
        <v>78</v>
      </c>
      <c r="F71" s="9" t="s">
        <v>64</v>
      </c>
      <c r="G71" s="9">
        <v>2021</v>
      </c>
      <c r="H71" s="9" t="s">
        <v>65</v>
      </c>
      <c r="I71" s="9" t="s">
        <v>87</v>
      </c>
      <c r="J71" s="9" t="s">
        <v>65</v>
      </c>
      <c r="K71" s="9" t="s">
        <v>323</v>
      </c>
      <c r="N71" s="9" t="s">
        <v>70</v>
      </c>
      <c r="P71" s="10">
        <v>5</v>
      </c>
      <c r="Q71" s="10">
        <v>5</v>
      </c>
      <c r="R71" s="10">
        <v>4</v>
      </c>
      <c r="S71" s="10">
        <v>4</v>
      </c>
      <c r="T71" s="10">
        <v>4.5</v>
      </c>
      <c r="U71" s="10">
        <v>5</v>
      </c>
      <c r="V71" s="10">
        <v>4.583333333333333</v>
      </c>
      <c r="W71" s="11">
        <v>4.5</v>
      </c>
      <c r="X71" s="11">
        <v>5</v>
      </c>
      <c r="Y71" s="11">
        <v>5</v>
      </c>
      <c r="Z71" s="11">
        <v>5</v>
      </c>
      <c r="AA71" s="11">
        <v>5</v>
      </c>
      <c r="AB71" s="11">
        <v>5</v>
      </c>
      <c r="AC71" s="11">
        <v>4.916666666666667</v>
      </c>
      <c r="AD71" s="10"/>
      <c r="AE71" s="10"/>
      <c r="AF71" s="10"/>
      <c r="AG71" s="10"/>
      <c r="AH71" s="10"/>
      <c r="AI71" s="10"/>
      <c r="AJ71" s="10">
        <v>5</v>
      </c>
      <c r="AK71" s="10">
        <v>5</v>
      </c>
      <c r="AL71" s="10">
        <v>5</v>
      </c>
      <c r="AM71" s="10">
        <v>5</v>
      </c>
      <c r="AN71" s="10">
        <v>5</v>
      </c>
      <c r="AO71" s="10">
        <v>5</v>
      </c>
      <c r="AP71" s="10">
        <v>5</v>
      </c>
      <c r="AQ71" s="12">
        <v>2</v>
      </c>
      <c r="AR71" s="12">
        <v>3</v>
      </c>
      <c r="AS71" s="12">
        <v>3</v>
      </c>
      <c r="AT71" s="12">
        <v>3</v>
      </c>
      <c r="AU71" s="12">
        <v>2.5</v>
      </c>
      <c r="AV71" s="12">
        <v>2.7</v>
      </c>
      <c r="AW71" s="12">
        <v>3</v>
      </c>
      <c r="AX71" s="12">
        <v>1</v>
      </c>
      <c r="AY71" s="12">
        <v>3</v>
      </c>
      <c r="AZ71" s="12">
        <v>3</v>
      </c>
      <c r="BA71" s="12">
        <v>3</v>
      </c>
      <c r="BB71" s="13">
        <v>437</v>
      </c>
      <c r="BC71" s="13">
        <v>592</v>
      </c>
      <c r="BD71" s="13">
        <v>155</v>
      </c>
      <c r="BE71" s="13">
        <v>0.35</v>
      </c>
      <c r="BF71" s="13" t="s">
        <v>217</v>
      </c>
      <c r="BG71" s="13" t="s">
        <v>324</v>
      </c>
      <c r="BH71" s="13" t="s">
        <v>330</v>
      </c>
      <c r="BI71" s="13" t="s">
        <v>325</v>
      </c>
      <c r="BX71" s="9">
        <f t="shared" si="19"/>
        <v>4.5</v>
      </c>
      <c r="BY71" s="9">
        <f t="shared" si="20"/>
        <v>5</v>
      </c>
      <c r="BZ71" s="9">
        <f t="shared" si="21"/>
        <v>4</v>
      </c>
      <c r="CA71" s="9">
        <f t="shared" si="22"/>
        <v>5</v>
      </c>
      <c r="CB71" s="9">
        <f t="shared" si="23"/>
        <v>5</v>
      </c>
      <c r="CC71" s="9">
        <f t="shared" si="24"/>
        <v>5</v>
      </c>
      <c r="CD71" s="9">
        <f t="shared" si="25"/>
        <v>4</v>
      </c>
      <c r="CE71" s="21">
        <f t="shared" si="26"/>
        <v>4.916666666666667</v>
      </c>
      <c r="CF71" s="21">
        <f t="shared" si="27"/>
        <v>5</v>
      </c>
      <c r="CG71" s="21">
        <f t="shared" si="28"/>
        <v>4.583333333333333</v>
      </c>
      <c r="CH71" s="21">
        <f t="shared" si="29"/>
        <v>5</v>
      </c>
      <c r="CI71" s="21">
        <f t="shared" si="30"/>
        <v>5</v>
      </c>
      <c r="CJ71" s="21">
        <f t="shared" si="31"/>
        <v>4.9000000000000004</v>
      </c>
    </row>
    <row r="72" spans="1:88">
      <c r="A72" s="9">
        <v>71</v>
      </c>
      <c r="B72" s="9" t="s">
        <v>114</v>
      </c>
      <c r="C72" s="9" t="s">
        <v>134</v>
      </c>
      <c r="D72" s="9" t="s">
        <v>135</v>
      </c>
      <c r="E72" s="9" t="s">
        <v>63</v>
      </c>
      <c r="F72" s="9" t="s">
        <v>78</v>
      </c>
      <c r="G72" s="9">
        <v>2016</v>
      </c>
      <c r="H72" s="9" t="s">
        <v>69</v>
      </c>
      <c r="I72" s="9" t="s">
        <v>87</v>
      </c>
      <c r="K72" s="9" t="s">
        <v>322</v>
      </c>
      <c r="N72" s="9" t="s">
        <v>70</v>
      </c>
      <c r="P72" s="10">
        <v>5</v>
      </c>
      <c r="Q72" s="10">
        <v>5</v>
      </c>
      <c r="R72" s="10">
        <v>5</v>
      </c>
      <c r="S72" s="10">
        <v>5</v>
      </c>
      <c r="T72" s="10">
        <v>5</v>
      </c>
      <c r="U72" s="10">
        <v>5</v>
      </c>
      <c r="V72" s="10">
        <v>5</v>
      </c>
      <c r="W72" s="11">
        <v>4.5</v>
      </c>
      <c r="X72" s="11">
        <v>5</v>
      </c>
      <c r="Y72" s="11">
        <v>5</v>
      </c>
      <c r="Z72" s="11">
        <v>3.5</v>
      </c>
      <c r="AA72" s="11">
        <v>5</v>
      </c>
      <c r="AB72" s="11">
        <v>5</v>
      </c>
      <c r="AC72" s="11">
        <v>4.666666666666667</v>
      </c>
      <c r="AD72" s="10"/>
      <c r="AE72" s="10"/>
      <c r="AF72" s="10"/>
      <c r="AG72" s="10"/>
      <c r="AH72" s="10"/>
      <c r="AI72" s="10"/>
      <c r="AJ72" s="10">
        <v>5</v>
      </c>
      <c r="AK72" s="10">
        <v>5</v>
      </c>
      <c r="AL72" s="10">
        <v>5</v>
      </c>
      <c r="AM72" s="10">
        <v>5</v>
      </c>
      <c r="AN72" s="10">
        <v>5</v>
      </c>
      <c r="AO72" s="10">
        <v>5</v>
      </c>
      <c r="AP72" s="10">
        <v>5</v>
      </c>
      <c r="AQ72" s="12">
        <v>3</v>
      </c>
      <c r="AR72" s="12">
        <v>3</v>
      </c>
      <c r="AS72" s="12">
        <v>3</v>
      </c>
      <c r="AT72" s="12">
        <v>3</v>
      </c>
      <c r="AU72" s="12">
        <v>3</v>
      </c>
      <c r="AV72" s="12">
        <v>3</v>
      </c>
      <c r="AW72" s="12">
        <v>3</v>
      </c>
      <c r="AX72" s="12">
        <v>2</v>
      </c>
      <c r="AY72" s="12">
        <v>3</v>
      </c>
      <c r="AZ72" s="12">
        <v>3</v>
      </c>
      <c r="BA72" s="12">
        <v>3</v>
      </c>
      <c r="BB72" s="13">
        <v>435</v>
      </c>
      <c r="BC72" s="13">
        <v>557</v>
      </c>
      <c r="BD72" s="13">
        <v>122</v>
      </c>
      <c r="BE72" s="13">
        <v>0.28000000000000003</v>
      </c>
      <c r="BF72" s="13" t="s">
        <v>217</v>
      </c>
      <c r="BG72" s="13" t="s">
        <v>324</v>
      </c>
      <c r="BH72" s="13" t="s">
        <v>330</v>
      </c>
      <c r="BX72" s="9">
        <f t="shared" si="19"/>
        <v>3.5</v>
      </c>
      <c r="BY72" s="9">
        <f t="shared" si="20"/>
        <v>5</v>
      </c>
      <c r="BZ72" s="9">
        <f t="shared" si="21"/>
        <v>5</v>
      </c>
      <c r="CA72" s="9">
        <f t="shared" si="22"/>
        <v>5</v>
      </c>
      <c r="CB72" s="9">
        <f t="shared" si="23"/>
        <v>5</v>
      </c>
      <c r="CC72" s="9">
        <f t="shared" si="24"/>
        <v>5</v>
      </c>
      <c r="CD72" s="9">
        <f t="shared" si="25"/>
        <v>3.5</v>
      </c>
      <c r="CE72" s="21">
        <f t="shared" si="26"/>
        <v>4.666666666666667</v>
      </c>
      <c r="CF72" s="21">
        <f t="shared" si="27"/>
        <v>5</v>
      </c>
      <c r="CG72" s="21">
        <f t="shared" si="28"/>
        <v>5</v>
      </c>
      <c r="CH72" s="21">
        <f t="shared" si="29"/>
        <v>5</v>
      </c>
      <c r="CI72" s="21">
        <f t="shared" si="30"/>
        <v>5</v>
      </c>
      <c r="CJ72" s="21">
        <f t="shared" si="31"/>
        <v>4.9333333333333336</v>
      </c>
    </row>
    <row r="73" spans="1:88">
      <c r="A73" s="9">
        <v>72</v>
      </c>
      <c r="B73" s="9" t="s">
        <v>114</v>
      </c>
      <c r="C73" s="9" t="s">
        <v>134</v>
      </c>
      <c r="D73" s="9" t="s">
        <v>136</v>
      </c>
      <c r="E73" s="9" t="s">
        <v>105</v>
      </c>
      <c r="F73" s="9" t="s">
        <v>78</v>
      </c>
      <c r="G73" s="9">
        <v>2020</v>
      </c>
      <c r="H73" s="9" t="s">
        <v>69</v>
      </c>
      <c r="I73" s="9" t="s">
        <v>87</v>
      </c>
      <c r="K73" s="9" t="s">
        <v>322</v>
      </c>
      <c r="N73" s="9" t="s">
        <v>70</v>
      </c>
      <c r="P73" s="10">
        <v>5</v>
      </c>
      <c r="Q73" s="10">
        <v>5</v>
      </c>
      <c r="R73" s="10">
        <v>4</v>
      </c>
      <c r="S73" s="10">
        <v>4</v>
      </c>
      <c r="T73" s="10">
        <v>5</v>
      </c>
      <c r="U73" s="10">
        <v>4</v>
      </c>
      <c r="V73" s="10">
        <v>4.5</v>
      </c>
      <c r="W73" s="11">
        <v>4</v>
      </c>
      <c r="X73" s="11">
        <v>4</v>
      </c>
      <c r="Y73" s="11">
        <v>2</v>
      </c>
      <c r="Z73" s="11">
        <v>4</v>
      </c>
      <c r="AA73" s="11">
        <v>4.5</v>
      </c>
      <c r="AB73" s="11">
        <v>4</v>
      </c>
      <c r="AC73" s="11">
        <v>3.75</v>
      </c>
      <c r="AD73" s="10"/>
      <c r="AE73" s="10"/>
      <c r="AF73" s="10"/>
      <c r="AG73" s="10"/>
      <c r="AH73" s="10"/>
      <c r="AI73" s="10"/>
      <c r="AJ73" s="10">
        <v>4</v>
      </c>
      <c r="AK73" s="10">
        <v>5</v>
      </c>
      <c r="AL73" s="10">
        <v>5</v>
      </c>
      <c r="AM73" s="10">
        <v>5</v>
      </c>
      <c r="AN73" s="10">
        <v>5</v>
      </c>
      <c r="AO73" s="10">
        <v>5</v>
      </c>
      <c r="AP73" s="10">
        <v>5</v>
      </c>
      <c r="AQ73" s="12">
        <v>2</v>
      </c>
      <c r="AR73" s="12">
        <v>1</v>
      </c>
      <c r="AS73" s="12">
        <v>2</v>
      </c>
      <c r="AT73" s="12">
        <v>3</v>
      </c>
      <c r="AU73" s="12">
        <v>2.5</v>
      </c>
      <c r="AV73" s="12">
        <v>2.1</v>
      </c>
      <c r="AW73" s="12">
        <v>2</v>
      </c>
      <c r="AX73" s="12">
        <v>2</v>
      </c>
      <c r="AY73" s="12">
        <v>1</v>
      </c>
      <c r="AZ73" s="12">
        <v>2</v>
      </c>
      <c r="BA73" s="12">
        <v>3</v>
      </c>
      <c r="BB73" s="13">
        <v>363</v>
      </c>
      <c r="BC73" s="13">
        <v>67</v>
      </c>
      <c r="BD73" s="13">
        <v>244</v>
      </c>
      <c r="BE73" s="13">
        <v>0.67</v>
      </c>
      <c r="BX73" s="9">
        <f t="shared" si="19"/>
        <v>2</v>
      </c>
      <c r="BY73" s="9">
        <f t="shared" si="20"/>
        <v>4</v>
      </c>
      <c r="BZ73" s="9">
        <f t="shared" si="21"/>
        <v>4</v>
      </c>
      <c r="CA73" s="9">
        <f t="shared" si="22"/>
        <v>5</v>
      </c>
      <c r="CB73" s="9">
        <f t="shared" si="23"/>
        <v>5</v>
      </c>
      <c r="CC73" s="9">
        <f t="shared" si="24"/>
        <v>5</v>
      </c>
      <c r="CD73" s="9">
        <f t="shared" si="25"/>
        <v>2</v>
      </c>
      <c r="CE73" s="21">
        <f t="shared" si="26"/>
        <v>3.75</v>
      </c>
      <c r="CF73" s="21">
        <f t="shared" si="27"/>
        <v>4</v>
      </c>
      <c r="CG73" s="21">
        <f t="shared" si="28"/>
        <v>4.5</v>
      </c>
      <c r="CH73" s="21">
        <f t="shared" si="29"/>
        <v>5</v>
      </c>
      <c r="CI73" s="21">
        <f t="shared" si="30"/>
        <v>5</v>
      </c>
      <c r="CJ73" s="21">
        <f t="shared" si="31"/>
        <v>4.45</v>
      </c>
    </row>
    <row r="74" spans="1:88">
      <c r="A74" s="9">
        <v>73</v>
      </c>
      <c r="B74" s="9" t="s">
        <v>114</v>
      </c>
      <c r="D74" s="9" t="s">
        <v>137</v>
      </c>
      <c r="E74" s="9" t="s">
        <v>63</v>
      </c>
      <c r="F74" s="9" t="s">
        <v>78</v>
      </c>
      <c r="G74" s="9">
        <v>2020</v>
      </c>
      <c r="H74" s="9" t="s">
        <v>65</v>
      </c>
      <c r="I74" s="9" t="s">
        <v>83</v>
      </c>
      <c r="J74" s="9" t="s">
        <v>69</v>
      </c>
      <c r="K74" s="9" t="s">
        <v>323</v>
      </c>
      <c r="N74" s="9" t="s">
        <v>70</v>
      </c>
      <c r="P74" s="10">
        <v>5</v>
      </c>
      <c r="Q74" s="10">
        <v>5</v>
      </c>
      <c r="R74" s="10">
        <v>5</v>
      </c>
      <c r="S74" s="10">
        <v>4</v>
      </c>
      <c r="T74" s="10">
        <v>4.5</v>
      </c>
      <c r="U74" s="10">
        <v>5</v>
      </c>
      <c r="V74" s="10">
        <v>4.75</v>
      </c>
      <c r="W74" s="11">
        <v>5</v>
      </c>
      <c r="X74" s="11">
        <v>5</v>
      </c>
      <c r="Y74" s="11">
        <v>5</v>
      </c>
      <c r="Z74" s="11">
        <v>5</v>
      </c>
      <c r="AA74" s="11">
        <v>5</v>
      </c>
      <c r="AB74" s="11">
        <v>5</v>
      </c>
      <c r="AC74" s="11">
        <v>5</v>
      </c>
      <c r="AD74" s="10"/>
      <c r="AE74" s="10"/>
      <c r="AF74" s="10"/>
      <c r="AG74" s="10"/>
      <c r="AH74" s="10"/>
      <c r="AI74" s="10"/>
      <c r="AJ74" s="10">
        <v>5</v>
      </c>
      <c r="AK74" s="10">
        <v>5</v>
      </c>
      <c r="AL74" s="10">
        <v>5</v>
      </c>
      <c r="AM74" s="10">
        <v>5</v>
      </c>
      <c r="AN74" s="10">
        <v>5</v>
      </c>
      <c r="AO74" s="10">
        <v>5</v>
      </c>
      <c r="AP74" s="10">
        <v>5</v>
      </c>
      <c r="AQ74" s="12">
        <v>3</v>
      </c>
      <c r="AR74" s="12">
        <v>3</v>
      </c>
      <c r="AS74" s="12">
        <v>3</v>
      </c>
      <c r="AT74" s="12">
        <v>3</v>
      </c>
      <c r="AU74" s="12">
        <v>3</v>
      </c>
      <c r="AV74" s="12">
        <v>3</v>
      </c>
      <c r="AW74" s="12">
        <v>3</v>
      </c>
      <c r="AX74" s="12">
        <v>3</v>
      </c>
      <c r="AY74" s="12">
        <v>3</v>
      </c>
      <c r="AZ74" s="12">
        <v>3</v>
      </c>
      <c r="BA74" s="12">
        <v>3</v>
      </c>
      <c r="BB74" s="13">
        <v>815</v>
      </c>
      <c r="BC74" s="13">
        <v>984</v>
      </c>
      <c r="BD74" s="13">
        <v>169</v>
      </c>
      <c r="BE74" s="13">
        <v>0.21</v>
      </c>
      <c r="BF74" s="13" t="s">
        <v>217</v>
      </c>
      <c r="BG74" s="13" t="s">
        <v>324</v>
      </c>
      <c r="BH74" s="13" t="s">
        <v>330</v>
      </c>
      <c r="BX74" s="9">
        <f t="shared" si="19"/>
        <v>5</v>
      </c>
      <c r="BY74" s="9">
        <f t="shared" si="20"/>
        <v>5</v>
      </c>
      <c r="BZ74" s="9">
        <f t="shared" si="21"/>
        <v>4</v>
      </c>
      <c r="CA74" s="9">
        <f t="shared" si="22"/>
        <v>5</v>
      </c>
      <c r="CB74" s="9">
        <f t="shared" si="23"/>
        <v>5</v>
      </c>
      <c r="CC74" s="9">
        <f t="shared" si="24"/>
        <v>5</v>
      </c>
      <c r="CD74" s="9">
        <f t="shared" si="25"/>
        <v>4</v>
      </c>
      <c r="CE74" s="21">
        <f t="shared" si="26"/>
        <v>5</v>
      </c>
      <c r="CF74" s="21">
        <f t="shared" si="27"/>
        <v>5</v>
      </c>
      <c r="CG74" s="21">
        <f t="shared" si="28"/>
        <v>4.75</v>
      </c>
      <c r="CH74" s="21">
        <f t="shared" si="29"/>
        <v>5</v>
      </c>
      <c r="CI74" s="21">
        <f t="shared" si="30"/>
        <v>5</v>
      </c>
      <c r="CJ74" s="21">
        <f t="shared" si="31"/>
        <v>4.95</v>
      </c>
    </row>
    <row r="75" spans="1:88">
      <c r="A75" s="9">
        <v>74</v>
      </c>
      <c r="B75" s="9" t="s">
        <v>114</v>
      </c>
      <c r="D75" s="9" t="s">
        <v>75</v>
      </c>
      <c r="E75" s="9" t="s">
        <v>78</v>
      </c>
      <c r="F75" s="9" t="s">
        <v>78</v>
      </c>
      <c r="G75" s="9">
        <v>2021</v>
      </c>
      <c r="H75" s="9" t="s">
        <v>69</v>
      </c>
      <c r="I75" s="9" t="s">
        <v>87</v>
      </c>
      <c r="J75" s="9" t="s">
        <v>69</v>
      </c>
      <c r="K75" s="9" t="s">
        <v>323</v>
      </c>
      <c r="N75" s="9" t="s">
        <v>70</v>
      </c>
      <c r="O75" s="9" t="s">
        <v>70</v>
      </c>
      <c r="P75" s="10">
        <v>4</v>
      </c>
      <c r="Q75" s="10">
        <v>4</v>
      </c>
      <c r="R75" s="10">
        <v>3</v>
      </c>
      <c r="S75" s="10">
        <v>4</v>
      </c>
      <c r="T75" s="10">
        <v>3.5</v>
      </c>
      <c r="U75" s="10">
        <v>4</v>
      </c>
      <c r="V75" s="10">
        <v>3.75</v>
      </c>
      <c r="W75" s="11">
        <v>5</v>
      </c>
      <c r="X75" s="11">
        <v>5</v>
      </c>
      <c r="Y75" s="11">
        <v>5</v>
      </c>
      <c r="Z75" s="11">
        <v>5</v>
      </c>
      <c r="AA75" s="11">
        <v>5</v>
      </c>
      <c r="AB75" s="11">
        <v>5</v>
      </c>
      <c r="AC75" s="11">
        <v>5</v>
      </c>
      <c r="AD75" s="10"/>
      <c r="AE75" s="10"/>
      <c r="AF75" s="10"/>
      <c r="AG75" s="10"/>
      <c r="AH75" s="10"/>
      <c r="AI75" s="10"/>
      <c r="AJ75" s="10">
        <v>5</v>
      </c>
      <c r="AK75" s="10">
        <v>5</v>
      </c>
      <c r="AL75" s="10">
        <v>5</v>
      </c>
      <c r="AM75" s="10">
        <v>5</v>
      </c>
      <c r="AN75" s="10">
        <v>5</v>
      </c>
      <c r="AO75" s="10">
        <v>5</v>
      </c>
      <c r="AP75" s="10">
        <v>3.6666666666666665</v>
      </c>
      <c r="AQ75" s="12">
        <v>2</v>
      </c>
      <c r="AR75" s="12">
        <v>3</v>
      </c>
      <c r="AS75" s="12">
        <v>2</v>
      </c>
      <c r="AT75" s="12">
        <v>2</v>
      </c>
      <c r="AU75" s="12">
        <v>2.5</v>
      </c>
      <c r="AV75" s="12">
        <v>2.2999999999999998</v>
      </c>
      <c r="AW75" s="12">
        <v>1</v>
      </c>
      <c r="AX75" s="12">
        <v>1</v>
      </c>
      <c r="AY75" s="12">
        <v>3</v>
      </c>
      <c r="AZ75" s="12">
        <v>3</v>
      </c>
      <c r="BA75" s="12">
        <v>1</v>
      </c>
      <c r="BB75" s="13">
        <v>514</v>
      </c>
      <c r="BC75" s="13">
        <v>764</v>
      </c>
      <c r="BD75" s="13">
        <v>25</v>
      </c>
      <c r="BE75" s="13">
        <v>0.49</v>
      </c>
      <c r="BF75" s="13" t="s">
        <v>217</v>
      </c>
      <c r="BG75" s="13" t="s">
        <v>324</v>
      </c>
      <c r="BI75" s="13" t="s">
        <v>325</v>
      </c>
      <c r="BX75" s="9">
        <f t="shared" si="19"/>
        <v>5</v>
      </c>
      <c r="BY75" s="9">
        <f t="shared" si="20"/>
        <v>5</v>
      </c>
      <c r="BZ75" s="9">
        <f t="shared" si="21"/>
        <v>3</v>
      </c>
      <c r="CA75" s="9">
        <f t="shared" si="22"/>
        <v>5</v>
      </c>
      <c r="CB75" s="9">
        <f t="shared" si="23"/>
        <v>5</v>
      </c>
      <c r="CC75" s="9">
        <f t="shared" si="24"/>
        <v>3.6666666666666665</v>
      </c>
      <c r="CD75" s="9">
        <f t="shared" si="25"/>
        <v>3</v>
      </c>
      <c r="CE75" s="21">
        <f t="shared" si="26"/>
        <v>5</v>
      </c>
      <c r="CF75" s="21">
        <f t="shared" si="27"/>
        <v>5</v>
      </c>
      <c r="CG75" s="21">
        <f t="shared" si="28"/>
        <v>3.75</v>
      </c>
      <c r="CH75" s="21">
        <f t="shared" si="29"/>
        <v>5</v>
      </c>
      <c r="CI75" s="21">
        <f t="shared" si="30"/>
        <v>3.6666666666666665</v>
      </c>
      <c r="CJ75" s="21">
        <f t="shared" si="31"/>
        <v>4.4833333333333334</v>
      </c>
    </row>
    <row r="76" spans="1:88">
      <c r="A76" s="9">
        <v>75</v>
      </c>
      <c r="B76" s="9" t="s">
        <v>114</v>
      </c>
      <c r="C76" s="9" t="s">
        <v>115</v>
      </c>
      <c r="D76" s="9" t="s">
        <v>75</v>
      </c>
      <c r="E76" s="9" t="s">
        <v>105</v>
      </c>
      <c r="F76" s="9" t="s">
        <v>78</v>
      </c>
      <c r="G76" s="9">
        <v>2007</v>
      </c>
      <c r="H76" s="9" t="s">
        <v>65</v>
      </c>
      <c r="I76" s="9" t="s">
        <v>83</v>
      </c>
      <c r="K76" s="9" t="s">
        <v>322</v>
      </c>
      <c r="N76" s="9" t="s">
        <v>70</v>
      </c>
      <c r="P76" s="10">
        <v>4</v>
      </c>
      <c r="Q76" s="10">
        <v>3</v>
      </c>
      <c r="R76" s="10">
        <v>3</v>
      </c>
      <c r="S76" s="10">
        <v>3</v>
      </c>
      <c r="T76" s="10">
        <v>3</v>
      </c>
      <c r="U76" s="10">
        <v>3</v>
      </c>
      <c r="V76" s="10">
        <v>3.1666666666666665</v>
      </c>
      <c r="W76" s="11">
        <v>3</v>
      </c>
      <c r="X76" s="11">
        <v>1</v>
      </c>
      <c r="Y76" s="11">
        <v>1</v>
      </c>
      <c r="Z76" s="11">
        <v>1</v>
      </c>
      <c r="AA76" s="11">
        <v>1</v>
      </c>
      <c r="AB76" s="11">
        <v>1</v>
      </c>
      <c r="AC76" s="11">
        <v>1.3333333333333333</v>
      </c>
      <c r="AD76" s="10"/>
      <c r="AE76" s="10"/>
      <c r="AF76" s="10"/>
      <c r="AG76" s="10"/>
      <c r="AH76" s="10"/>
      <c r="AI76" s="10"/>
      <c r="AJ76" s="10">
        <v>1</v>
      </c>
      <c r="AK76" s="10">
        <v>4</v>
      </c>
      <c r="AL76" s="10">
        <v>4</v>
      </c>
      <c r="AM76" s="10">
        <v>4</v>
      </c>
      <c r="AN76" s="10">
        <v>4</v>
      </c>
      <c r="AO76" s="10">
        <v>4</v>
      </c>
      <c r="AP76" s="10">
        <v>4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X76" s="9">
        <f t="shared" si="19"/>
        <v>1</v>
      </c>
      <c r="BY76" s="9">
        <f t="shared" si="20"/>
        <v>1</v>
      </c>
      <c r="BZ76" s="9">
        <f t="shared" si="21"/>
        <v>3</v>
      </c>
      <c r="CA76" s="9">
        <f t="shared" si="22"/>
        <v>4</v>
      </c>
      <c r="CB76" s="9">
        <f t="shared" si="23"/>
        <v>4</v>
      </c>
      <c r="CC76" s="9">
        <f t="shared" si="24"/>
        <v>4</v>
      </c>
      <c r="CD76" s="9">
        <f t="shared" si="25"/>
        <v>1</v>
      </c>
      <c r="CE76" s="21">
        <f t="shared" si="26"/>
        <v>1.3333333333333333</v>
      </c>
      <c r="CF76" s="21">
        <f t="shared" si="27"/>
        <v>1</v>
      </c>
      <c r="CG76" s="21">
        <f t="shared" si="28"/>
        <v>3.1666666666666665</v>
      </c>
      <c r="CH76" s="21">
        <f t="shared" si="29"/>
        <v>4</v>
      </c>
      <c r="CI76" s="21">
        <f t="shared" si="30"/>
        <v>4</v>
      </c>
      <c r="CJ76" s="21">
        <f t="shared" si="31"/>
        <v>2.7</v>
      </c>
    </row>
    <row r="77" spans="1:88">
      <c r="A77" s="9">
        <v>76</v>
      </c>
      <c r="B77" s="9" t="s">
        <v>114</v>
      </c>
      <c r="C77" s="9" t="s">
        <v>115</v>
      </c>
      <c r="D77" s="9" t="s">
        <v>131</v>
      </c>
      <c r="E77" s="9" t="s">
        <v>78</v>
      </c>
      <c r="F77" s="9" t="s">
        <v>78</v>
      </c>
      <c r="G77" s="9">
        <v>2019</v>
      </c>
      <c r="H77" s="9" t="s">
        <v>65</v>
      </c>
      <c r="I77" s="9" t="s">
        <v>83</v>
      </c>
      <c r="K77" s="9" t="s">
        <v>322</v>
      </c>
      <c r="N77" s="9" t="s">
        <v>70</v>
      </c>
      <c r="P77" s="10">
        <v>5</v>
      </c>
      <c r="Q77" s="10">
        <v>5</v>
      </c>
      <c r="R77" s="10">
        <v>5</v>
      </c>
      <c r="S77" s="10">
        <v>5</v>
      </c>
      <c r="T77" s="10">
        <v>5</v>
      </c>
      <c r="U77" s="10">
        <v>5</v>
      </c>
      <c r="V77" s="10">
        <v>5</v>
      </c>
      <c r="W77" s="11">
        <v>5</v>
      </c>
      <c r="X77" s="11">
        <v>5</v>
      </c>
      <c r="Y77" s="11">
        <v>5</v>
      </c>
      <c r="Z77" s="11">
        <v>5</v>
      </c>
      <c r="AA77" s="11">
        <v>5</v>
      </c>
      <c r="AB77" s="11">
        <v>5</v>
      </c>
      <c r="AC77" s="11">
        <v>5</v>
      </c>
      <c r="AD77" s="10"/>
      <c r="AE77" s="10"/>
      <c r="AF77" s="10"/>
      <c r="AG77" s="10"/>
      <c r="AH77" s="10"/>
      <c r="AI77" s="10"/>
      <c r="AJ77" s="10">
        <v>5</v>
      </c>
      <c r="AK77" s="10">
        <v>5</v>
      </c>
      <c r="AL77" s="10">
        <v>5</v>
      </c>
      <c r="AM77" s="10">
        <v>5</v>
      </c>
      <c r="AN77" s="10">
        <v>5</v>
      </c>
      <c r="AO77" s="10">
        <v>5</v>
      </c>
      <c r="AP77" s="10">
        <v>5</v>
      </c>
      <c r="AQ77" s="12">
        <v>3</v>
      </c>
      <c r="AR77" s="12">
        <v>3</v>
      </c>
      <c r="AS77" s="12">
        <v>3</v>
      </c>
      <c r="AT77" s="12">
        <v>3</v>
      </c>
      <c r="AU77" s="12">
        <v>3</v>
      </c>
      <c r="AV77" s="12">
        <v>3</v>
      </c>
      <c r="AW77" s="12">
        <v>2</v>
      </c>
      <c r="AX77" s="12">
        <v>3</v>
      </c>
      <c r="AY77" s="12">
        <v>3</v>
      </c>
      <c r="AZ77" s="12">
        <v>3</v>
      </c>
      <c r="BA77" s="12">
        <v>3</v>
      </c>
      <c r="BB77" s="13">
        <v>462</v>
      </c>
      <c r="BC77" s="13">
        <v>699</v>
      </c>
      <c r="BD77" s="13">
        <v>237</v>
      </c>
      <c r="BE77" s="13">
        <v>0.51</v>
      </c>
      <c r="BF77" s="13" t="s">
        <v>217</v>
      </c>
      <c r="BG77" s="13" t="s">
        <v>324</v>
      </c>
      <c r="BI77" s="13" t="s">
        <v>325</v>
      </c>
      <c r="BX77" s="9">
        <f t="shared" si="19"/>
        <v>5</v>
      </c>
      <c r="BY77" s="9">
        <f t="shared" si="20"/>
        <v>5</v>
      </c>
      <c r="BZ77" s="9">
        <f t="shared" si="21"/>
        <v>5</v>
      </c>
      <c r="CA77" s="9">
        <f t="shared" si="22"/>
        <v>5</v>
      </c>
      <c r="CB77" s="9">
        <f t="shared" si="23"/>
        <v>5</v>
      </c>
      <c r="CC77" s="9">
        <f t="shared" si="24"/>
        <v>5</v>
      </c>
      <c r="CD77" s="9">
        <f t="shared" si="25"/>
        <v>5</v>
      </c>
      <c r="CE77" s="21">
        <f t="shared" si="26"/>
        <v>5</v>
      </c>
      <c r="CF77" s="21">
        <f t="shared" si="27"/>
        <v>5</v>
      </c>
      <c r="CG77" s="21">
        <f t="shared" si="28"/>
        <v>5</v>
      </c>
      <c r="CH77" s="21">
        <f t="shared" si="29"/>
        <v>5</v>
      </c>
      <c r="CI77" s="21">
        <f t="shared" si="30"/>
        <v>5</v>
      </c>
      <c r="CJ77" s="21">
        <f t="shared" si="31"/>
        <v>5</v>
      </c>
    </row>
    <row r="78" spans="1:88">
      <c r="A78" s="9">
        <v>77</v>
      </c>
      <c r="B78" s="9" t="s">
        <v>114</v>
      </c>
      <c r="D78" s="9" t="s">
        <v>96</v>
      </c>
      <c r="E78" s="9" t="s">
        <v>68</v>
      </c>
      <c r="F78" s="9" t="s">
        <v>64</v>
      </c>
      <c r="G78" s="9">
        <v>2021</v>
      </c>
      <c r="H78" s="9" t="s">
        <v>65</v>
      </c>
      <c r="I78" s="9" t="s">
        <v>83</v>
      </c>
      <c r="J78" s="9" t="s">
        <v>69</v>
      </c>
      <c r="K78" s="9" t="s">
        <v>323</v>
      </c>
      <c r="N78" s="9" t="s">
        <v>70</v>
      </c>
      <c r="P78" s="10">
        <v>5</v>
      </c>
      <c r="Q78" s="10">
        <v>5</v>
      </c>
      <c r="R78" s="10">
        <v>5</v>
      </c>
      <c r="S78" s="10">
        <v>5</v>
      </c>
      <c r="T78" s="10">
        <v>5</v>
      </c>
      <c r="U78" s="10">
        <v>5</v>
      </c>
      <c r="V78" s="10">
        <v>5</v>
      </c>
      <c r="W78" s="11">
        <v>5</v>
      </c>
      <c r="X78" s="11">
        <v>5</v>
      </c>
      <c r="Y78" s="11">
        <v>5</v>
      </c>
      <c r="Z78" s="11">
        <v>5</v>
      </c>
      <c r="AA78" s="11">
        <v>5</v>
      </c>
      <c r="AB78" s="11">
        <v>5</v>
      </c>
      <c r="AC78" s="11">
        <v>5</v>
      </c>
      <c r="AD78" s="10"/>
      <c r="AE78" s="10"/>
      <c r="AF78" s="10"/>
      <c r="AG78" s="10"/>
      <c r="AH78" s="10"/>
      <c r="AI78" s="10"/>
      <c r="AJ78" s="10">
        <v>5</v>
      </c>
      <c r="AK78" s="10">
        <v>5</v>
      </c>
      <c r="AL78" s="10">
        <v>5</v>
      </c>
      <c r="AM78" s="10">
        <v>5</v>
      </c>
      <c r="AN78" s="10">
        <v>5</v>
      </c>
      <c r="AO78" s="10">
        <v>5</v>
      </c>
      <c r="AP78" s="10">
        <v>5</v>
      </c>
      <c r="AQ78" s="12">
        <v>3</v>
      </c>
      <c r="AR78" s="12">
        <v>3</v>
      </c>
      <c r="AS78" s="12">
        <v>2</v>
      </c>
      <c r="AT78" s="12">
        <v>3</v>
      </c>
      <c r="AU78" s="12">
        <v>2.5</v>
      </c>
      <c r="AV78" s="12">
        <v>2.7</v>
      </c>
      <c r="AW78" s="12">
        <v>3</v>
      </c>
      <c r="AX78" s="12">
        <v>1</v>
      </c>
      <c r="AY78" s="12">
        <v>1</v>
      </c>
      <c r="AZ78" s="12">
        <v>2</v>
      </c>
      <c r="BA78" s="12">
        <v>3</v>
      </c>
      <c r="BB78" s="13">
        <v>371</v>
      </c>
      <c r="BC78" s="13">
        <v>563</v>
      </c>
      <c r="BD78" s="13">
        <v>192</v>
      </c>
      <c r="BE78" s="13">
        <v>0.52</v>
      </c>
      <c r="BF78" s="13" t="s">
        <v>217</v>
      </c>
      <c r="BG78" s="13" t="s">
        <v>324</v>
      </c>
      <c r="BH78" s="13" t="s">
        <v>330</v>
      </c>
      <c r="BI78" s="13" t="s">
        <v>325</v>
      </c>
      <c r="BX78" s="9">
        <f t="shared" si="19"/>
        <v>5</v>
      </c>
      <c r="BY78" s="9">
        <f t="shared" si="20"/>
        <v>5</v>
      </c>
      <c r="BZ78" s="9">
        <f t="shared" si="21"/>
        <v>5</v>
      </c>
      <c r="CA78" s="9">
        <f t="shared" si="22"/>
        <v>5</v>
      </c>
      <c r="CB78" s="9">
        <f t="shared" si="23"/>
        <v>5</v>
      </c>
      <c r="CC78" s="9">
        <f t="shared" si="24"/>
        <v>5</v>
      </c>
      <c r="CD78" s="9">
        <f t="shared" si="25"/>
        <v>5</v>
      </c>
      <c r="CE78" s="21">
        <f t="shared" si="26"/>
        <v>5</v>
      </c>
      <c r="CF78" s="21">
        <f t="shared" si="27"/>
        <v>5</v>
      </c>
      <c r="CG78" s="21">
        <f t="shared" si="28"/>
        <v>5</v>
      </c>
      <c r="CH78" s="21">
        <f t="shared" si="29"/>
        <v>5</v>
      </c>
      <c r="CI78" s="21">
        <f t="shared" si="30"/>
        <v>5</v>
      </c>
      <c r="CJ78" s="21">
        <f t="shared" si="31"/>
        <v>5</v>
      </c>
    </row>
    <row r="79" spans="1:88">
      <c r="A79" s="9">
        <v>78</v>
      </c>
      <c r="B79" s="9" t="s">
        <v>114</v>
      </c>
      <c r="C79" s="9" t="s">
        <v>85</v>
      </c>
      <c r="D79" s="9" t="s">
        <v>96</v>
      </c>
      <c r="E79" s="9" t="s">
        <v>113</v>
      </c>
      <c r="F79" s="9" t="s">
        <v>78</v>
      </c>
      <c r="G79" s="9">
        <v>2017</v>
      </c>
      <c r="H79" s="9" t="s">
        <v>65</v>
      </c>
      <c r="I79" s="9" t="s">
        <v>87</v>
      </c>
      <c r="J79" s="9" t="s">
        <v>65</v>
      </c>
      <c r="K79" s="9" t="s">
        <v>323</v>
      </c>
      <c r="P79" s="10">
        <v>5</v>
      </c>
      <c r="Q79" s="10">
        <v>5</v>
      </c>
      <c r="R79" s="10">
        <v>5</v>
      </c>
      <c r="S79" s="10">
        <v>5</v>
      </c>
      <c r="T79" s="10">
        <v>5</v>
      </c>
      <c r="U79" s="10">
        <v>5</v>
      </c>
      <c r="V79" s="10">
        <v>5</v>
      </c>
      <c r="W79" s="11">
        <v>5</v>
      </c>
      <c r="X79" s="11">
        <v>5</v>
      </c>
      <c r="Y79" s="11">
        <v>5</v>
      </c>
      <c r="Z79" s="11">
        <v>5</v>
      </c>
      <c r="AA79" s="11">
        <v>5</v>
      </c>
      <c r="AB79" s="11">
        <v>5</v>
      </c>
      <c r="AC79" s="11">
        <v>5</v>
      </c>
      <c r="AD79" s="10"/>
      <c r="AE79" s="10"/>
      <c r="AF79" s="10"/>
      <c r="AG79" s="10"/>
      <c r="AH79" s="10"/>
      <c r="AI79" s="10"/>
      <c r="AJ79" s="10">
        <v>5</v>
      </c>
      <c r="AK79" s="10">
        <v>5</v>
      </c>
      <c r="AL79" s="10">
        <v>5</v>
      </c>
      <c r="AM79" s="10">
        <v>5</v>
      </c>
      <c r="AN79" s="10">
        <v>5</v>
      </c>
      <c r="AO79" s="10">
        <v>5</v>
      </c>
      <c r="AP79" s="10">
        <v>5</v>
      </c>
      <c r="AQ79" s="12">
        <v>3</v>
      </c>
      <c r="AR79" s="12">
        <v>3</v>
      </c>
      <c r="AS79" s="12">
        <v>3</v>
      </c>
      <c r="AT79" s="12">
        <v>3</v>
      </c>
      <c r="AU79" s="12">
        <v>3</v>
      </c>
      <c r="AV79" s="12">
        <v>3</v>
      </c>
      <c r="AW79" s="12">
        <v>3</v>
      </c>
      <c r="AX79" s="12">
        <v>3</v>
      </c>
      <c r="AY79" s="12">
        <v>3</v>
      </c>
      <c r="AZ79" s="12">
        <v>3</v>
      </c>
      <c r="BA79" s="12">
        <v>3</v>
      </c>
      <c r="BB79" s="13">
        <v>54</v>
      </c>
      <c r="BC79" s="13">
        <v>616</v>
      </c>
      <c r="BD79" s="13">
        <v>112</v>
      </c>
      <c r="BE79" s="13">
        <v>0.22</v>
      </c>
      <c r="BF79" s="13" t="s">
        <v>217</v>
      </c>
      <c r="BG79" s="13" t="s">
        <v>324</v>
      </c>
      <c r="BX79" s="9">
        <f t="shared" si="19"/>
        <v>5</v>
      </c>
      <c r="BY79" s="9">
        <f t="shared" si="20"/>
        <v>5</v>
      </c>
      <c r="BZ79" s="9">
        <f t="shared" si="21"/>
        <v>5</v>
      </c>
      <c r="CA79" s="9">
        <f t="shared" si="22"/>
        <v>5</v>
      </c>
      <c r="CB79" s="9">
        <f t="shared" si="23"/>
        <v>5</v>
      </c>
      <c r="CC79" s="9">
        <f t="shared" si="24"/>
        <v>5</v>
      </c>
      <c r="CD79" s="9">
        <f t="shared" si="25"/>
        <v>5</v>
      </c>
      <c r="CE79" s="21">
        <f t="shared" si="26"/>
        <v>5</v>
      </c>
      <c r="CF79" s="21">
        <f t="shared" si="27"/>
        <v>5</v>
      </c>
      <c r="CG79" s="21">
        <f t="shared" si="28"/>
        <v>5</v>
      </c>
      <c r="CH79" s="21">
        <f t="shared" si="29"/>
        <v>5</v>
      </c>
      <c r="CI79" s="21">
        <f t="shared" si="30"/>
        <v>5</v>
      </c>
      <c r="CJ79" s="21">
        <f t="shared" si="31"/>
        <v>5</v>
      </c>
    </row>
    <row r="80" spans="1:88">
      <c r="A80" s="9">
        <v>79</v>
      </c>
      <c r="B80" s="9" t="s">
        <v>114</v>
      </c>
      <c r="C80" s="9" t="s">
        <v>98</v>
      </c>
      <c r="D80" s="9" t="s">
        <v>75</v>
      </c>
      <c r="E80" s="9" t="s">
        <v>78</v>
      </c>
      <c r="F80" s="9" t="s">
        <v>64</v>
      </c>
      <c r="G80" s="9">
        <v>2019</v>
      </c>
      <c r="H80" s="9" t="s">
        <v>69</v>
      </c>
      <c r="I80" s="9" t="s">
        <v>87</v>
      </c>
      <c r="K80" s="9" t="s">
        <v>322</v>
      </c>
      <c r="N80" s="9" t="s">
        <v>70</v>
      </c>
      <c r="P80" s="10">
        <v>4</v>
      </c>
      <c r="Q80" s="10">
        <v>4</v>
      </c>
      <c r="R80" s="10">
        <v>4</v>
      </c>
      <c r="S80" s="10">
        <v>4</v>
      </c>
      <c r="T80" s="10">
        <v>4</v>
      </c>
      <c r="U80" s="10">
        <v>4</v>
      </c>
      <c r="V80" s="10">
        <v>4</v>
      </c>
      <c r="W80" s="11">
        <v>3.5</v>
      </c>
      <c r="X80" s="11">
        <v>3</v>
      </c>
      <c r="Y80" s="11">
        <v>3</v>
      </c>
      <c r="Z80" s="11">
        <v>3</v>
      </c>
      <c r="AA80" s="11">
        <v>3</v>
      </c>
      <c r="AB80" s="11">
        <v>3</v>
      </c>
      <c r="AC80" s="11">
        <v>3.8333333333333002</v>
      </c>
      <c r="AD80" s="10"/>
      <c r="AE80" s="10"/>
      <c r="AF80" s="10"/>
      <c r="AG80" s="10"/>
      <c r="AH80" s="10"/>
      <c r="AI80" s="10"/>
      <c r="AJ80" s="10">
        <v>3</v>
      </c>
      <c r="AK80" s="10">
        <v>5</v>
      </c>
      <c r="AL80" s="10">
        <v>5</v>
      </c>
      <c r="AM80" s="10">
        <v>5</v>
      </c>
      <c r="AN80" s="10">
        <v>5</v>
      </c>
      <c r="AO80" s="10">
        <v>5</v>
      </c>
      <c r="AP80" s="10">
        <v>5</v>
      </c>
      <c r="AQ80" s="12">
        <v>3</v>
      </c>
      <c r="AR80" s="12">
        <v>3</v>
      </c>
      <c r="AS80" s="12">
        <v>2</v>
      </c>
      <c r="AT80" s="12">
        <v>3</v>
      </c>
      <c r="AU80" s="12">
        <v>2</v>
      </c>
      <c r="AV80" s="12">
        <v>2.6</v>
      </c>
      <c r="AW80" s="12">
        <v>3</v>
      </c>
      <c r="AX80" s="12">
        <v>1</v>
      </c>
      <c r="AY80" s="12">
        <v>3</v>
      </c>
      <c r="AZ80" s="12">
        <v>1</v>
      </c>
      <c r="BA80" s="12">
        <v>3</v>
      </c>
      <c r="BB80" s="13">
        <v>298</v>
      </c>
      <c r="BC80" s="13">
        <v>459</v>
      </c>
      <c r="BD80" s="13">
        <v>161</v>
      </c>
      <c r="BE80" s="13">
        <v>0.54</v>
      </c>
      <c r="BX80" s="9">
        <f t="shared" si="19"/>
        <v>3</v>
      </c>
      <c r="BY80" s="9">
        <f t="shared" si="20"/>
        <v>3</v>
      </c>
      <c r="BZ80" s="9">
        <f t="shared" si="21"/>
        <v>4</v>
      </c>
      <c r="CA80" s="9">
        <f t="shared" si="22"/>
        <v>5</v>
      </c>
      <c r="CB80" s="9">
        <f t="shared" si="23"/>
        <v>5</v>
      </c>
      <c r="CC80" s="9">
        <f t="shared" si="24"/>
        <v>5</v>
      </c>
      <c r="CD80" s="9">
        <f t="shared" si="25"/>
        <v>3</v>
      </c>
      <c r="CE80" s="21">
        <f t="shared" si="26"/>
        <v>3.8333333333333002</v>
      </c>
      <c r="CF80" s="21">
        <f t="shared" si="27"/>
        <v>3</v>
      </c>
      <c r="CG80" s="21">
        <f t="shared" si="28"/>
        <v>4</v>
      </c>
      <c r="CH80" s="21">
        <f t="shared" si="29"/>
        <v>5</v>
      </c>
      <c r="CI80" s="21">
        <f t="shared" si="30"/>
        <v>5</v>
      </c>
      <c r="CJ80" s="21">
        <f t="shared" si="31"/>
        <v>4.1666666666666599</v>
      </c>
    </row>
    <row r="81" spans="1:88">
      <c r="A81" s="9">
        <v>80</v>
      </c>
      <c r="B81" s="9" t="s">
        <v>138</v>
      </c>
      <c r="C81" s="9" t="s">
        <v>98</v>
      </c>
      <c r="D81" s="9" t="s">
        <v>128</v>
      </c>
      <c r="E81" s="9" t="s">
        <v>78</v>
      </c>
      <c r="F81" s="9" t="s">
        <v>78</v>
      </c>
      <c r="H81" s="9" t="s">
        <v>69</v>
      </c>
      <c r="I81" s="9" t="s">
        <v>87</v>
      </c>
      <c r="J81" s="9" t="s">
        <v>69</v>
      </c>
      <c r="K81" s="9" t="s">
        <v>323</v>
      </c>
      <c r="N81" s="9" t="s">
        <v>70</v>
      </c>
      <c r="P81" s="10">
        <v>4</v>
      </c>
      <c r="Q81" s="10">
        <v>4</v>
      </c>
      <c r="R81" s="10">
        <v>4</v>
      </c>
      <c r="S81" s="10">
        <v>4</v>
      </c>
      <c r="T81" s="10">
        <v>4</v>
      </c>
      <c r="U81" s="10">
        <v>4</v>
      </c>
      <c r="V81" s="10">
        <v>4</v>
      </c>
      <c r="W81" s="11">
        <v>5</v>
      </c>
      <c r="X81" s="11">
        <v>5</v>
      </c>
      <c r="Y81" s="11">
        <v>5</v>
      </c>
      <c r="Z81" s="11">
        <v>5</v>
      </c>
      <c r="AA81" s="11">
        <v>5</v>
      </c>
      <c r="AB81" s="11">
        <v>5</v>
      </c>
      <c r="AC81" s="11">
        <v>5</v>
      </c>
      <c r="AD81" s="10"/>
      <c r="AE81" s="10"/>
      <c r="AF81" s="10"/>
      <c r="AG81" s="10"/>
      <c r="AH81" s="10"/>
      <c r="AI81" s="10"/>
      <c r="AJ81" s="10">
        <v>5</v>
      </c>
      <c r="AK81" s="10">
        <v>5</v>
      </c>
      <c r="AL81" s="10">
        <v>5</v>
      </c>
      <c r="AM81" s="10">
        <v>5</v>
      </c>
      <c r="AN81" s="10">
        <v>5</v>
      </c>
      <c r="AO81" s="10">
        <v>5</v>
      </c>
      <c r="AP81" s="10">
        <v>5</v>
      </c>
      <c r="AQ81" s="12">
        <v>3</v>
      </c>
      <c r="AR81" s="12">
        <v>3</v>
      </c>
      <c r="AS81" s="12">
        <v>3</v>
      </c>
      <c r="AT81" s="12">
        <v>3</v>
      </c>
      <c r="AU81" s="12">
        <v>2.5</v>
      </c>
      <c r="AV81" s="12">
        <v>2.9</v>
      </c>
      <c r="AW81" s="12">
        <v>3</v>
      </c>
      <c r="AX81" s="12">
        <v>3</v>
      </c>
      <c r="AY81" s="12">
        <v>1</v>
      </c>
      <c r="AZ81" s="12">
        <v>3</v>
      </c>
      <c r="BA81" s="12">
        <v>1</v>
      </c>
      <c r="BB81" s="13">
        <v>465</v>
      </c>
      <c r="BC81" s="13">
        <v>6</v>
      </c>
      <c r="BD81" s="13">
        <v>135</v>
      </c>
      <c r="BE81" s="13">
        <v>0.28999999999999998</v>
      </c>
      <c r="BF81" s="13" t="s">
        <v>209</v>
      </c>
      <c r="BG81" s="13" t="s">
        <v>326</v>
      </c>
      <c r="BH81" s="13" t="s">
        <v>330</v>
      </c>
      <c r="BI81" s="13" t="s">
        <v>325</v>
      </c>
      <c r="BX81" s="9">
        <f t="shared" si="19"/>
        <v>5</v>
      </c>
      <c r="BY81" s="9">
        <f t="shared" si="20"/>
        <v>5</v>
      </c>
      <c r="BZ81" s="9">
        <f t="shared" si="21"/>
        <v>4</v>
      </c>
      <c r="CA81" s="9">
        <f t="shared" si="22"/>
        <v>5</v>
      </c>
      <c r="CB81" s="9">
        <f t="shared" si="23"/>
        <v>5</v>
      </c>
      <c r="CC81" s="9">
        <f t="shared" si="24"/>
        <v>5</v>
      </c>
      <c r="CD81" s="9">
        <f t="shared" si="25"/>
        <v>4</v>
      </c>
      <c r="CE81" s="21">
        <f t="shared" si="26"/>
        <v>5</v>
      </c>
      <c r="CF81" s="21">
        <f t="shared" si="27"/>
        <v>5</v>
      </c>
      <c r="CG81" s="21">
        <f t="shared" si="28"/>
        <v>4</v>
      </c>
      <c r="CH81" s="21">
        <f t="shared" si="29"/>
        <v>5</v>
      </c>
      <c r="CI81" s="21">
        <f t="shared" si="30"/>
        <v>5</v>
      </c>
      <c r="CJ81" s="21">
        <f t="shared" si="31"/>
        <v>4.8</v>
      </c>
    </row>
    <row r="82" spans="1:88">
      <c r="A82" s="9">
        <v>81</v>
      </c>
      <c r="B82" s="9" t="s">
        <v>138</v>
      </c>
      <c r="C82" s="9" t="s">
        <v>98</v>
      </c>
      <c r="D82" s="9" t="s">
        <v>86</v>
      </c>
      <c r="E82" s="9" t="s">
        <v>63</v>
      </c>
      <c r="F82" s="9" t="s">
        <v>78</v>
      </c>
      <c r="H82" s="9" t="s">
        <v>65</v>
      </c>
      <c r="I82" s="9" t="s">
        <v>87</v>
      </c>
      <c r="J82" s="9" t="s">
        <v>65</v>
      </c>
      <c r="K82" s="9" t="s">
        <v>323</v>
      </c>
      <c r="N82" s="9" t="s">
        <v>70</v>
      </c>
      <c r="O82" s="9" t="s">
        <v>70</v>
      </c>
      <c r="P82" s="10">
        <v>4</v>
      </c>
      <c r="Q82" s="10">
        <v>4</v>
      </c>
      <c r="R82" s="10">
        <v>4</v>
      </c>
      <c r="S82" s="10">
        <v>4</v>
      </c>
      <c r="T82" s="10">
        <v>4</v>
      </c>
      <c r="U82" s="10">
        <v>4</v>
      </c>
      <c r="V82" s="10">
        <v>4</v>
      </c>
      <c r="W82" s="11">
        <v>5</v>
      </c>
      <c r="X82" s="11">
        <v>5</v>
      </c>
      <c r="Y82" s="11">
        <v>5</v>
      </c>
      <c r="Z82" s="11">
        <v>5</v>
      </c>
      <c r="AA82" s="11">
        <v>5</v>
      </c>
      <c r="AB82" s="11">
        <v>5</v>
      </c>
      <c r="AC82" s="11">
        <v>5</v>
      </c>
      <c r="AD82" s="10"/>
      <c r="AE82" s="10"/>
      <c r="AF82" s="10"/>
      <c r="AG82" s="10"/>
      <c r="AH82" s="10"/>
      <c r="AI82" s="10"/>
      <c r="AJ82" s="10">
        <v>4</v>
      </c>
      <c r="AK82" s="10">
        <v>5</v>
      </c>
      <c r="AL82" s="10">
        <v>4</v>
      </c>
      <c r="AM82" s="10">
        <v>5</v>
      </c>
      <c r="AN82" s="10">
        <v>4.666666666666667</v>
      </c>
      <c r="AO82" s="10">
        <v>5</v>
      </c>
      <c r="AP82" s="10">
        <v>5</v>
      </c>
      <c r="AQ82" s="12">
        <v>3</v>
      </c>
      <c r="AR82" s="12">
        <v>3</v>
      </c>
      <c r="AS82" s="12">
        <v>3</v>
      </c>
      <c r="AT82" s="12">
        <v>3</v>
      </c>
      <c r="AU82" s="12">
        <v>2.5</v>
      </c>
      <c r="AV82" s="12">
        <v>2.9</v>
      </c>
      <c r="AW82" s="12">
        <v>3</v>
      </c>
      <c r="AX82" s="12">
        <v>3</v>
      </c>
      <c r="AY82" s="12">
        <v>2</v>
      </c>
      <c r="AZ82" s="12">
        <v>2</v>
      </c>
      <c r="BA82" s="12">
        <v>3</v>
      </c>
      <c r="BB82" s="13">
        <v>775</v>
      </c>
      <c r="BC82" s="13">
        <v>928</v>
      </c>
      <c r="BD82" s="13">
        <v>153</v>
      </c>
      <c r="BE82" s="13">
        <v>0.2</v>
      </c>
      <c r="BF82" s="13" t="s">
        <v>217</v>
      </c>
      <c r="BG82" s="13" t="s">
        <v>324</v>
      </c>
      <c r="BH82" s="13" t="s">
        <v>330</v>
      </c>
      <c r="BI82" s="13" t="s">
        <v>325</v>
      </c>
      <c r="BX82" s="9">
        <f t="shared" si="19"/>
        <v>5</v>
      </c>
      <c r="BY82" s="9">
        <f t="shared" si="20"/>
        <v>4</v>
      </c>
      <c r="BZ82" s="9">
        <f t="shared" si="21"/>
        <v>4</v>
      </c>
      <c r="CA82" s="9">
        <f t="shared" si="22"/>
        <v>4</v>
      </c>
      <c r="CB82" s="9">
        <f t="shared" si="23"/>
        <v>5</v>
      </c>
      <c r="CC82" s="9">
        <f t="shared" si="24"/>
        <v>5</v>
      </c>
      <c r="CD82" s="9">
        <f t="shared" si="25"/>
        <v>4</v>
      </c>
      <c r="CE82" s="21">
        <f t="shared" si="26"/>
        <v>5</v>
      </c>
      <c r="CF82" s="21">
        <f t="shared" si="27"/>
        <v>4</v>
      </c>
      <c r="CG82" s="21">
        <f t="shared" si="28"/>
        <v>4</v>
      </c>
      <c r="CH82" s="21">
        <f t="shared" si="29"/>
        <v>4.666666666666667</v>
      </c>
      <c r="CI82" s="21">
        <f t="shared" si="30"/>
        <v>5</v>
      </c>
      <c r="CJ82" s="21">
        <f t="shared" si="31"/>
        <v>4.5333333333333332</v>
      </c>
    </row>
    <row r="83" spans="1:88">
      <c r="A83" s="9">
        <v>82</v>
      </c>
      <c r="B83" s="9" t="s">
        <v>138</v>
      </c>
      <c r="C83" s="9" t="s">
        <v>98</v>
      </c>
      <c r="D83" s="9" t="s">
        <v>82</v>
      </c>
      <c r="E83" s="9" t="s">
        <v>78</v>
      </c>
      <c r="F83" s="9" t="s">
        <v>78</v>
      </c>
      <c r="H83" s="9" t="s">
        <v>65</v>
      </c>
      <c r="I83" s="9" t="s">
        <v>87</v>
      </c>
      <c r="K83" s="9" t="s">
        <v>322</v>
      </c>
      <c r="N83" s="9" t="s">
        <v>70</v>
      </c>
      <c r="P83" s="10">
        <v>4</v>
      </c>
      <c r="Q83" s="10">
        <v>4</v>
      </c>
      <c r="R83" s="10">
        <v>4</v>
      </c>
      <c r="S83" s="10">
        <v>4</v>
      </c>
      <c r="T83" s="10">
        <v>4</v>
      </c>
      <c r="U83" s="10">
        <v>4</v>
      </c>
      <c r="V83" s="10">
        <v>4</v>
      </c>
      <c r="W83" s="11">
        <v>5</v>
      </c>
      <c r="X83" s="11">
        <v>5</v>
      </c>
      <c r="Y83" s="11">
        <v>2</v>
      </c>
      <c r="Z83" s="11">
        <v>4</v>
      </c>
      <c r="AA83" s="11">
        <v>5</v>
      </c>
      <c r="AB83" s="11">
        <v>5</v>
      </c>
      <c r="AC83" s="11">
        <v>4.333333333333333</v>
      </c>
      <c r="AD83" s="10"/>
      <c r="AE83" s="10"/>
      <c r="AF83" s="10"/>
      <c r="AG83" s="10"/>
      <c r="AH83" s="10"/>
      <c r="AI83" s="10"/>
      <c r="AJ83" s="10">
        <v>5</v>
      </c>
      <c r="AK83" s="10">
        <v>5</v>
      </c>
      <c r="AL83" s="10"/>
      <c r="AM83" s="10"/>
      <c r="AN83" s="10">
        <v>5</v>
      </c>
      <c r="AO83" s="10"/>
      <c r="AP83" s="10">
        <v>5</v>
      </c>
      <c r="AQ83" s="12">
        <v>3</v>
      </c>
      <c r="AR83" s="12">
        <v>3</v>
      </c>
      <c r="AS83" s="12">
        <v>1</v>
      </c>
      <c r="AT83" s="12">
        <v>3</v>
      </c>
      <c r="AU83" s="12">
        <v>3</v>
      </c>
      <c r="AV83" s="12">
        <v>2.6</v>
      </c>
      <c r="AW83" s="12">
        <v>3</v>
      </c>
      <c r="AX83" s="12">
        <v>1</v>
      </c>
      <c r="AY83" s="12">
        <v>2</v>
      </c>
      <c r="AZ83" s="12">
        <v>3</v>
      </c>
      <c r="BA83" s="12">
        <v>3</v>
      </c>
      <c r="BB83" s="13">
        <v>27</v>
      </c>
      <c r="BC83" s="13">
        <v>291</v>
      </c>
      <c r="BD83" s="13">
        <v>84</v>
      </c>
      <c r="BE83" s="13">
        <v>0.41</v>
      </c>
      <c r="BF83" s="13" t="s">
        <v>333</v>
      </c>
      <c r="BG83" s="13" t="s">
        <v>326</v>
      </c>
      <c r="BH83" s="13" t="s">
        <v>327</v>
      </c>
      <c r="BI83" s="13" t="s">
        <v>325</v>
      </c>
      <c r="BX83" s="9">
        <f t="shared" si="19"/>
        <v>2</v>
      </c>
      <c r="BY83" s="9">
        <f t="shared" si="20"/>
        <v>5</v>
      </c>
      <c r="BZ83" s="9">
        <f t="shared" si="21"/>
        <v>4</v>
      </c>
      <c r="CA83" s="9">
        <f t="shared" si="22"/>
        <v>5</v>
      </c>
      <c r="CB83" s="9">
        <f t="shared" si="23"/>
        <v>0</v>
      </c>
      <c r="CC83" s="9">
        <f t="shared" si="24"/>
        <v>5</v>
      </c>
      <c r="CD83" s="9">
        <f t="shared" si="25"/>
        <v>0</v>
      </c>
      <c r="CE83" s="21">
        <f t="shared" si="26"/>
        <v>4.333333333333333</v>
      </c>
      <c r="CF83" s="21">
        <f t="shared" si="27"/>
        <v>5</v>
      </c>
      <c r="CG83" s="21">
        <f t="shared" si="28"/>
        <v>4</v>
      </c>
      <c r="CH83" s="21">
        <f t="shared" si="29"/>
        <v>5</v>
      </c>
      <c r="CI83" s="21">
        <f t="shared" si="30"/>
        <v>5</v>
      </c>
      <c r="CJ83" s="21">
        <f t="shared" si="31"/>
        <v>4.6666666666666661</v>
      </c>
    </row>
    <row r="84" spans="1:88">
      <c r="A84" s="9">
        <v>83</v>
      </c>
      <c r="B84" s="9" t="s">
        <v>138</v>
      </c>
      <c r="C84" s="9" t="s">
        <v>139</v>
      </c>
      <c r="D84" s="9" t="s">
        <v>86</v>
      </c>
      <c r="E84" s="9" t="s">
        <v>63</v>
      </c>
      <c r="F84" s="9" t="s">
        <v>78</v>
      </c>
      <c r="H84" s="9" t="s">
        <v>65</v>
      </c>
      <c r="I84" s="9" t="s">
        <v>65</v>
      </c>
      <c r="J84" s="9" t="s">
        <v>69</v>
      </c>
      <c r="K84" s="9" t="s">
        <v>323</v>
      </c>
      <c r="M84" s="9" t="s">
        <v>70</v>
      </c>
      <c r="N84" s="9" t="s">
        <v>70</v>
      </c>
      <c r="O84" s="9" t="s">
        <v>70</v>
      </c>
      <c r="P84" s="10">
        <v>4</v>
      </c>
      <c r="Q84" s="10">
        <v>4</v>
      </c>
      <c r="R84" s="10">
        <v>4</v>
      </c>
      <c r="S84" s="10">
        <v>4</v>
      </c>
      <c r="T84" s="10">
        <v>4</v>
      </c>
      <c r="U84" s="10">
        <v>4</v>
      </c>
      <c r="V84" s="10">
        <v>4</v>
      </c>
      <c r="W84" s="11">
        <v>5</v>
      </c>
      <c r="X84" s="11">
        <v>5</v>
      </c>
      <c r="Y84" s="11">
        <v>5</v>
      </c>
      <c r="Z84" s="11">
        <v>3.5</v>
      </c>
      <c r="AA84" s="11">
        <v>5</v>
      </c>
      <c r="AB84" s="11">
        <v>5</v>
      </c>
      <c r="AC84" s="11">
        <v>4.75</v>
      </c>
      <c r="AD84" s="10"/>
      <c r="AE84" s="10"/>
      <c r="AF84" s="10"/>
      <c r="AG84" s="10"/>
      <c r="AH84" s="10"/>
      <c r="AI84" s="10"/>
      <c r="AJ84" s="10">
        <v>4</v>
      </c>
      <c r="AK84" s="10">
        <v>5</v>
      </c>
      <c r="AL84" s="10">
        <v>5</v>
      </c>
      <c r="AM84" s="10">
        <v>5</v>
      </c>
      <c r="AN84" s="10">
        <v>5</v>
      </c>
      <c r="AO84" s="10">
        <v>5</v>
      </c>
      <c r="AP84" s="10">
        <v>5</v>
      </c>
      <c r="AQ84" s="12">
        <v>3</v>
      </c>
      <c r="AR84" s="12">
        <v>3</v>
      </c>
      <c r="AS84" s="12">
        <v>3</v>
      </c>
      <c r="AT84" s="12">
        <v>3</v>
      </c>
      <c r="AU84" s="12">
        <v>3</v>
      </c>
      <c r="AV84" s="12">
        <v>3</v>
      </c>
      <c r="AW84" s="12">
        <v>2</v>
      </c>
      <c r="AX84" s="12">
        <v>3</v>
      </c>
      <c r="AY84" s="12">
        <v>2</v>
      </c>
      <c r="AZ84" s="12">
        <v>3</v>
      </c>
      <c r="BA84" s="12">
        <v>1</v>
      </c>
      <c r="BB84" s="13">
        <v>724</v>
      </c>
      <c r="BC84" s="13">
        <v>882</v>
      </c>
      <c r="BD84" s="13">
        <v>158</v>
      </c>
      <c r="BE84" s="13">
        <v>0.22</v>
      </c>
      <c r="BF84" s="13" t="s">
        <v>217</v>
      </c>
      <c r="BG84" s="13" t="s">
        <v>324</v>
      </c>
      <c r="BI84" s="13" t="s">
        <v>325</v>
      </c>
      <c r="BX84" s="9">
        <f t="shared" si="19"/>
        <v>3.5</v>
      </c>
      <c r="BY84" s="9">
        <f t="shared" si="20"/>
        <v>4</v>
      </c>
      <c r="BZ84" s="9">
        <f t="shared" si="21"/>
        <v>4</v>
      </c>
      <c r="CA84" s="9">
        <f t="shared" si="22"/>
        <v>5</v>
      </c>
      <c r="CB84" s="9">
        <f t="shared" si="23"/>
        <v>5</v>
      </c>
      <c r="CC84" s="9">
        <f t="shared" si="24"/>
        <v>5</v>
      </c>
      <c r="CD84" s="9">
        <f t="shared" si="25"/>
        <v>3.5</v>
      </c>
      <c r="CE84" s="21">
        <f t="shared" si="26"/>
        <v>4.75</v>
      </c>
      <c r="CF84" s="21">
        <f t="shared" si="27"/>
        <v>4</v>
      </c>
      <c r="CG84" s="21">
        <f t="shared" si="28"/>
        <v>4</v>
      </c>
      <c r="CH84" s="21">
        <f t="shared" si="29"/>
        <v>5</v>
      </c>
      <c r="CI84" s="21">
        <f t="shared" si="30"/>
        <v>5</v>
      </c>
      <c r="CJ84" s="21">
        <f t="shared" si="31"/>
        <v>4.55</v>
      </c>
    </row>
    <row r="85" spans="1:88">
      <c r="A85" s="9">
        <v>84</v>
      </c>
      <c r="B85" s="9" t="s">
        <v>138</v>
      </c>
      <c r="C85" s="9" t="s">
        <v>139</v>
      </c>
      <c r="D85" s="9" t="s">
        <v>73</v>
      </c>
      <c r="E85" s="9" t="s">
        <v>63</v>
      </c>
      <c r="F85" s="9" t="s">
        <v>78</v>
      </c>
      <c r="H85" s="9" t="s">
        <v>65</v>
      </c>
      <c r="I85" s="9" t="s">
        <v>65</v>
      </c>
      <c r="K85" s="9" t="s">
        <v>322</v>
      </c>
      <c r="P85" s="10">
        <v>4</v>
      </c>
      <c r="Q85" s="10">
        <v>4</v>
      </c>
      <c r="R85" s="10">
        <v>4</v>
      </c>
      <c r="S85" s="10">
        <v>4</v>
      </c>
      <c r="T85" s="10">
        <v>4</v>
      </c>
      <c r="U85" s="10">
        <v>4</v>
      </c>
      <c r="V85" s="10">
        <v>4</v>
      </c>
      <c r="W85" s="11">
        <v>5</v>
      </c>
      <c r="X85" s="11">
        <v>5</v>
      </c>
      <c r="Y85" s="11">
        <v>5</v>
      </c>
      <c r="Z85" s="11">
        <v>5</v>
      </c>
      <c r="AA85" s="11">
        <v>5</v>
      </c>
      <c r="AB85" s="11">
        <v>5</v>
      </c>
      <c r="AC85" s="11">
        <v>5</v>
      </c>
      <c r="AD85" s="10"/>
      <c r="AE85" s="10"/>
      <c r="AF85" s="10"/>
      <c r="AG85" s="10"/>
      <c r="AH85" s="10"/>
      <c r="AI85" s="10"/>
      <c r="AJ85" s="10">
        <v>5</v>
      </c>
      <c r="AK85" s="10">
        <v>5</v>
      </c>
      <c r="AL85" s="10"/>
      <c r="AM85" s="10"/>
      <c r="AN85" s="10">
        <v>5</v>
      </c>
      <c r="AO85" s="10"/>
      <c r="AP85" s="10"/>
      <c r="AQ85" s="12">
        <v>3</v>
      </c>
      <c r="AR85" s="12">
        <v>3</v>
      </c>
      <c r="AS85" s="12">
        <v>3</v>
      </c>
      <c r="AT85" s="12">
        <v>3</v>
      </c>
      <c r="AU85" s="12">
        <v>2.5</v>
      </c>
      <c r="AV85" s="12">
        <v>2.9</v>
      </c>
      <c r="AW85" s="12">
        <v>3</v>
      </c>
      <c r="AX85" s="12">
        <v>3</v>
      </c>
      <c r="AY85" s="12">
        <v>3</v>
      </c>
      <c r="AZ85" s="12">
        <v>3</v>
      </c>
      <c r="BA85" s="12">
        <v>3</v>
      </c>
      <c r="BB85" s="13">
        <v>234</v>
      </c>
      <c r="BC85" s="13">
        <v>365</v>
      </c>
      <c r="BD85" s="13">
        <v>131</v>
      </c>
      <c r="BE85" s="13">
        <v>0.56000000000000005</v>
      </c>
      <c r="BF85" s="13" t="s">
        <v>209</v>
      </c>
      <c r="BG85" s="13" t="s">
        <v>326</v>
      </c>
      <c r="BH85" s="13" t="s">
        <v>327</v>
      </c>
      <c r="BI85" s="13" t="s">
        <v>325</v>
      </c>
      <c r="BX85" s="9">
        <f t="shared" si="19"/>
        <v>5</v>
      </c>
      <c r="BY85" s="9">
        <f t="shared" si="20"/>
        <v>5</v>
      </c>
      <c r="BZ85" s="9">
        <f t="shared" si="21"/>
        <v>4</v>
      </c>
      <c r="CA85" s="9">
        <f t="shared" si="22"/>
        <v>5</v>
      </c>
      <c r="CB85" s="9">
        <f t="shared" si="23"/>
        <v>0</v>
      </c>
      <c r="CC85" s="9">
        <f t="shared" si="24"/>
        <v>0</v>
      </c>
      <c r="CD85" s="9">
        <f t="shared" si="25"/>
        <v>0</v>
      </c>
      <c r="CE85" s="21">
        <f t="shared" si="26"/>
        <v>5</v>
      </c>
      <c r="CF85" s="21">
        <f t="shared" si="27"/>
        <v>5</v>
      </c>
      <c r="CG85" s="21">
        <f t="shared" si="28"/>
        <v>4</v>
      </c>
      <c r="CH85" s="21">
        <f t="shared" si="29"/>
        <v>5</v>
      </c>
      <c r="CI85" s="21">
        <f t="shared" si="30"/>
        <v>0</v>
      </c>
      <c r="CJ85" s="21">
        <f t="shared" si="31"/>
        <v>3.8</v>
      </c>
    </row>
    <row r="86" spans="1:88">
      <c r="A86" s="9">
        <v>85</v>
      </c>
      <c r="B86" s="9" t="s">
        <v>88</v>
      </c>
      <c r="C86" s="9" t="s">
        <v>85</v>
      </c>
      <c r="D86" s="9" t="s">
        <v>140</v>
      </c>
      <c r="E86" s="9" t="s">
        <v>63</v>
      </c>
      <c r="F86" s="9" t="s">
        <v>78</v>
      </c>
      <c r="H86" s="9" t="s">
        <v>65</v>
      </c>
      <c r="I86" s="9" t="s">
        <v>87</v>
      </c>
      <c r="J86" s="9" t="s">
        <v>65</v>
      </c>
      <c r="K86" s="9" t="s">
        <v>323</v>
      </c>
      <c r="N86" s="9" t="s">
        <v>70</v>
      </c>
      <c r="O86" s="9" t="s">
        <v>70</v>
      </c>
      <c r="P86" s="10">
        <v>4</v>
      </c>
      <c r="Q86" s="10">
        <v>4</v>
      </c>
      <c r="R86" s="10">
        <v>3</v>
      </c>
      <c r="S86" s="10">
        <v>4</v>
      </c>
      <c r="T86" s="10">
        <v>3.5</v>
      </c>
      <c r="U86" s="10">
        <v>4</v>
      </c>
      <c r="V86" s="10">
        <v>3.75</v>
      </c>
      <c r="W86" s="11">
        <v>4</v>
      </c>
      <c r="X86" s="11">
        <v>4</v>
      </c>
      <c r="Y86" s="11">
        <v>4</v>
      </c>
      <c r="Z86" s="11">
        <v>2.5</v>
      </c>
      <c r="AA86" s="11">
        <v>4</v>
      </c>
      <c r="AB86" s="11">
        <v>4</v>
      </c>
      <c r="AC86" s="11">
        <v>3.75</v>
      </c>
      <c r="AD86" s="10"/>
      <c r="AE86" s="10"/>
      <c r="AF86" s="10"/>
      <c r="AG86" s="10"/>
      <c r="AH86" s="10"/>
      <c r="AI86" s="10"/>
      <c r="AJ86" s="10">
        <v>2</v>
      </c>
      <c r="AK86" s="10">
        <v>4</v>
      </c>
      <c r="AL86" s="10">
        <v>3</v>
      </c>
      <c r="AM86" s="10">
        <v>4</v>
      </c>
      <c r="AN86" s="10">
        <v>3.6666666666666665</v>
      </c>
      <c r="AO86" s="10">
        <v>3.5</v>
      </c>
      <c r="AP86" s="10">
        <v>3.25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X86" s="9">
        <f t="shared" si="19"/>
        <v>2.5</v>
      </c>
      <c r="BY86" s="9">
        <f t="shared" si="20"/>
        <v>2</v>
      </c>
      <c r="BZ86" s="9">
        <f t="shared" si="21"/>
        <v>3</v>
      </c>
      <c r="CA86" s="9">
        <f t="shared" si="22"/>
        <v>3</v>
      </c>
      <c r="CB86" s="9">
        <f t="shared" si="23"/>
        <v>3.5</v>
      </c>
      <c r="CC86" s="9">
        <f t="shared" si="24"/>
        <v>3.25</v>
      </c>
      <c r="CD86" s="9">
        <f t="shared" si="25"/>
        <v>2</v>
      </c>
      <c r="CE86" s="21">
        <f t="shared" si="26"/>
        <v>3.75</v>
      </c>
      <c r="CF86" s="21">
        <f t="shared" si="27"/>
        <v>2</v>
      </c>
      <c r="CG86" s="21">
        <f t="shared" si="28"/>
        <v>3.75</v>
      </c>
      <c r="CH86" s="21">
        <f t="shared" si="29"/>
        <v>3.6666666666666665</v>
      </c>
      <c r="CI86" s="21">
        <f t="shared" si="30"/>
        <v>3.25</v>
      </c>
      <c r="CJ86" s="21">
        <f t="shared" si="31"/>
        <v>3.2833333333333328</v>
      </c>
    </row>
    <row r="87" spans="1:88">
      <c r="A87" s="9">
        <v>86</v>
      </c>
      <c r="B87" s="9" t="s">
        <v>88</v>
      </c>
      <c r="C87" s="9" t="s">
        <v>85</v>
      </c>
      <c r="D87" s="9" t="s">
        <v>140</v>
      </c>
      <c r="E87" s="9" t="s">
        <v>78</v>
      </c>
      <c r="F87" s="9" t="s">
        <v>78</v>
      </c>
      <c r="H87" s="9" t="s">
        <v>65</v>
      </c>
      <c r="I87" s="9" t="s">
        <v>87</v>
      </c>
      <c r="J87" s="9" t="s">
        <v>65</v>
      </c>
      <c r="K87" s="9" t="s">
        <v>323</v>
      </c>
      <c r="N87" s="9" t="s">
        <v>70</v>
      </c>
      <c r="O87" s="9" t="s">
        <v>70</v>
      </c>
      <c r="P87" s="10">
        <v>3.5</v>
      </c>
      <c r="Q87" s="10">
        <v>4</v>
      </c>
      <c r="R87" s="10">
        <v>3</v>
      </c>
      <c r="S87" s="10">
        <v>3</v>
      </c>
      <c r="T87" s="10">
        <v>3.5</v>
      </c>
      <c r="U87" s="10">
        <v>4</v>
      </c>
      <c r="V87" s="10">
        <v>3.5</v>
      </c>
      <c r="W87" s="11">
        <v>4</v>
      </c>
      <c r="X87" s="11">
        <v>4</v>
      </c>
      <c r="Y87" s="11">
        <v>4</v>
      </c>
      <c r="Z87" s="11">
        <v>4</v>
      </c>
      <c r="AA87" s="11">
        <v>4</v>
      </c>
      <c r="AB87" s="11">
        <v>4</v>
      </c>
      <c r="AC87" s="11">
        <v>4</v>
      </c>
      <c r="AD87" s="10"/>
      <c r="AE87" s="10"/>
      <c r="AF87" s="10"/>
      <c r="AG87" s="10"/>
      <c r="AH87" s="10"/>
      <c r="AI87" s="10"/>
      <c r="AJ87" s="10">
        <v>3</v>
      </c>
      <c r="AK87" s="10">
        <v>4</v>
      </c>
      <c r="AL87" s="10">
        <v>3</v>
      </c>
      <c r="AM87" s="10">
        <v>4</v>
      </c>
      <c r="AN87" s="10">
        <v>3.6666666666666665</v>
      </c>
      <c r="AO87" s="10">
        <v>4</v>
      </c>
      <c r="AP87" s="10">
        <v>4</v>
      </c>
      <c r="AQ87" s="12">
        <v>3</v>
      </c>
      <c r="AR87" s="12">
        <v>3</v>
      </c>
      <c r="AS87" s="12">
        <v>3</v>
      </c>
      <c r="AT87" s="12">
        <v>3</v>
      </c>
      <c r="AU87" s="12">
        <v>2.5</v>
      </c>
      <c r="AV87" s="12">
        <v>2.9</v>
      </c>
      <c r="AW87" s="12">
        <v>3</v>
      </c>
      <c r="AX87" s="12">
        <v>3</v>
      </c>
      <c r="AY87" s="12">
        <v>3</v>
      </c>
      <c r="AZ87" s="12">
        <v>3</v>
      </c>
      <c r="BA87" s="12">
        <v>3</v>
      </c>
      <c r="BB87" s="13">
        <v>681</v>
      </c>
      <c r="BC87" s="13">
        <v>822</v>
      </c>
      <c r="BD87" s="13">
        <v>141</v>
      </c>
      <c r="BE87" s="13">
        <v>0.21</v>
      </c>
      <c r="BF87" s="13" t="s">
        <v>217</v>
      </c>
      <c r="BG87" s="13" t="s">
        <v>324</v>
      </c>
      <c r="BH87" s="13" t="s">
        <v>327</v>
      </c>
      <c r="BI87" s="13" t="s">
        <v>334</v>
      </c>
      <c r="BX87" s="9">
        <f t="shared" si="19"/>
        <v>4</v>
      </c>
      <c r="BY87" s="9">
        <f t="shared" si="20"/>
        <v>3</v>
      </c>
      <c r="BZ87" s="9">
        <f t="shared" si="21"/>
        <v>3</v>
      </c>
      <c r="CA87" s="9">
        <f t="shared" si="22"/>
        <v>3</v>
      </c>
      <c r="CB87" s="9">
        <f t="shared" si="23"/>
        <v>4</v>
      </c>
      <c r="CC87" s="9">
        <f t="shared" si="24"/>
        <v>4</v>
      </c>
      <c r="CD87" s="9">
        <f t="shared" si="25"/>
        <v>3</v>
      </c>
      <c r="CE87" s="21">
        <f t="shared" si="26"/>
        <v>4</v>
      </c>
      <c r="CF87" s="21">
        <f t="shared" si="27"/>
        <v>3</v>
      </c>
      <c r="CG87" s="21">
        <f t="shared" si="28"/>
        <v>3.5</v>
      </c>
      <c r="CH87" s="21">
        <f t="shared" si="29"/>
        <v>3.6666666666666665</v>
      </c>
      <c r="CI87" s="21">
        <f t="shared" si="30"/>
        <v>4</v>
      </c>
      <c r="CJ87" s="21">
        <f t="shared" si="31"/>
        <v>3.6333333333333329</v>
      </c>
    </row>
    <row r="88" spans="1:88">
      <c r="A88" s="9">
        <v>87</v>
      </c>
      <c r="B88" s="9" t="s">
        <v>88</v>
      </c>
      <c r="C88" s="9" t="s">
        <v>85</v>
      </c>
      <c r="D88" s="9" t="s">
        <v>82</v>
      </c>
      <c r="E88" s="9" t="s">
        <v>105</v>
      </c>
      <c r="F88" s="9" t="s">
        <v>78</v>
      </c>
      <c r="H88" s="9" t="s">
        <v>65</v>
      </c>
      <c r="I88" s="9" t="s">
        <v>87</v>
      </c>
      <c r="J88" s="9" t="s">
        <v>65</v>
      </c>
      <c r="K88" s="9" t="s">
        <v>323</v>
      </c>
      <c r="N88" s="9" t="s">
        <v>70</v>
      </c>
      <c r="O88" s="9" t="s">
        <v>70</v>
      </c>
      <c r="P88" s="10">
        <v>3</v>
      </c>
      <c r="Q88" s="10">
        <v>3</v>
      </c>
      <c r="R88" s="10">
        <v>2</v>
      </c>
      <c r="S88" s="10">
        <v>3</v>
      </c>
      <c r="T88" s="10">
        <v>2.5</v>
      </c>
      <c r="U88" s="10">
        <v>2</v>
      </c>
      <c r="V88" s="10">
        <v>2.5833333333333335</v>
      </c>
      <c r="W88" s="11">
        <v>4</v>
      </c>
      <c r="X88" s="11">
        <v>4</v>
      </c>
      <c r="Y88" s="11">
        <v>4</v>
      </c>
      <c r="Z88" s="11">
        <v>4</v>
      </c>
      <c r="AA88" s="11">
        <v>4</v>
      </c>
      <c r="AB88" s="11">
        <v>2</v>
      </c>
      <c r="AC88" s="11">
        <v>3.6666666666666665</v>
      </c>
      <c r="AD88" s="10"/>
      <c r="AE88" s="10"/>
      <c r="AF88" s="10"/>
      <c r="AG88" s="10"/>
      <c r="AH88" s="10"/>
      <c r="AI88" s="10"/>
      <c r="AJ88" s="10">
        <v>4</v>
      </c>
      <c r="AK88" s="10">
        <v>4</v>
      </c>
      <c r="AL88" s="10">
        <v>4</v>
      </c>
      <c r="AM88" s="10"/>
      <c r="AN88" s="10">
        <v>4</v>
      </c>
      <c r="AO88" s="10"/>
      <c r="AP88" s="10">
        <v>3.75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X88" s="9">
        <f t="shared" si="19"/>
        <v>2</v>
      </c>
      <c r="BY88" s="9">
        <f t="shared" si="20"/>
        <v>4</v>
      </c>
      <c r="BZ88" s="9">
        <f t="shared" si="21"/>
        <v>2</v>
      </c>
      <c r="CA88" s="9">
        <f t="shared" si="22"/>
        <v>4</v>
      </c>
      <c r="CB88" s="9">
        <f t="shared" si="23"/>
        <v>0</v>
      </c>
      <c r="CC88" s="9">
        <f t="shared" si="24"/>
        <v>3.75</v>
      </c>
      <c r="CD88" s="9">
        <f t="shared" si="25"/>
        <v>0</v>
      </c>
      <c r="CE88" s="21">
        <f t="shared" si="26"/>
        <v>3.6666666666666665</v>
      </c>
      <c r="CF88" s="21">
        <f t="shared" si="27"/>
        <v>4</v>
      </c>
      <c r="CG88" s="21">
        <f t="shared" si="28"/>
        <v>2.5833333333333335</v>
      </c>
      <c r="CH88" s="21">
        <f t="shared" si="29"/>
        <v>4</v>
      </c>
      <c r="CI88" s="21">
        <f t="shared" si="30"/>
        <v>3.75</v>
      </c>
      <c r="CJ88" s="21">
        <f t="shared" si="31"/>
        <v>3.6</v>
      </c>
    </row>
    <row r="89" spans="1:88">
      <c r="A89" s="9">
        <v>88</v>
      </c>
      <c r="B89" s="9" t="s">
        <v>88</v>
      </c>
      <c r="C89" s="9" t="s">
        <v>134</v>
      </c>
      <c r="D89" s="9" t="s">
        <v>96</v>
      </c>
      <c r="E89" s="9" t="s">
        <v>78</v>
      </c>
      <c r="F89" s="9" t="s">
        <v>78</v>
      </c>
      <c r="H89" s="9" t="s">
        <v>69</v>
      </c>
      <c r="I89" s="9" t="s">
        <v>87</v>
      </c>
      <c r="K89" s="9" t="s">
        <v>322</v>
      </c>
      <c r="O89" s="9" t="s">
        <v>70</v>
      </c>
      <c r="P89" s="10">
        <v>5</v>
      </c>
      <c r="Q89" s="10">
        <v>5</v>
      </c>
      <c r="R89" s="10">
        <v>4</v>
      </c>
      <c r="S89" s="10">
        <v>4</v>
      </c>
      <c r="T89" s="10">
        <v>4.5</v>
      </c>
      <c r="U89" s="10">
        <v>4</v>
      </c>
      <c r="V89" s="10">
        <v>4.416666666666667</v>
      </c>
      <c r="W89" s="11">
        <v>5</v>
      </c>
      <c r="X89" s="11">
        <v>5</v>
      </c>
      <c r="Y89" s="11">
        <v>5</v>
      </c>
      <c r="Z89" s="11">
        <v>5</v>
      </c>
      <c r="AA89" s="11">
        <v>5</v>
      </c>
      <c r="AB89" s="11">
        <v>5</v>
      </c>
      <c r="AC89" s="11">
        <v>5</v>
      </c>
      <c r="AD89" s="10"/>
      <c r="AE89" s="10"/>
      <c r="AF89" s="10"/>
      <c r="AG89" s="10"/>
      <c r="AH89" s="10"/>
      <c r="AI89" s="10"/>
      <c r="AJ89" s="10">
        <v>5</v>
      </c>
      <c r="AK89" s="10">
        <v>5</v>
      </c>
      <c r="AL89" s="10">
        <v>1</v>
      </c>
      <c r="AM89" s="10"/>
      <c r="AN89" s="10">
        <v>3</v>
      </c>
      <c r="AO89" s="10"/>
      <c r="AP89" s="10">
        <v>5</v>
      </c>
      <c r="AQ89" s="12">
        <v>3</v>
      </c>
      <c r="AR89" s="12">
        <v>3</v>
      </c>
      <c r="AS89" s="12">
        <v>3</v>
      </c>
      <c r="AT89" s="12">
        <v>3</v>
      </c>
      <c r="AU89" s="12">
        <v>3</v>
      </c>
      <c r="AV89" s="12">
        <v>3</v>
      </c>
      <c r="AW89" s="12">
        <v>3</v>
      </c>
      <c r="AX89" s="12">
        <v>3</v>
      </c>
      <c r="AY89" s="12">
        <v>3</v>
      </c>
      <c r="AZ89" s="12">
        <v>3</v>
      </c>
      <c r="BA89" s="12">
        <v>3</v>
      </c>
      <c r="BB89" s="13">
        <v>332</v>
      </c>
      <c r="BC89" s="13">
        <v>464</v>
      </c>
      <c r="BD89" s="13">
        <v>132</v>
      </c>
      <c r="BE89" s="13">
        <v>0.4</v>
      </c>
      <c r="BF89" s="13" t="s">
        <v>217</v>
      </c>
      <c r="BG89" s="13" t="s">
        <v>324</v>
      </c>
      <c r="BI89" s="13" t="s">
        <v>325</v>
      </c>
      <c r="BX89" s="9">
        <f t="shared" si="19"/>
        <v>5</v>
      </c>
      <c r="BY89" s="9">
        <f t="shared" si="20"/>
        <v>5</v>
      </c>
      <c r="BZ89" s="9">
        <f t="shared" si="21"/>
        <v>4</v>
      </c>
      <c r="CA89" s="9">
        <f t="shared" si="22"/>
        <v>1</v>
      </c>
      <c r="CB89" s="9">
        <f t="shared" si="23"/>
        <v>0</v>
      </c>
      <c r="CC89" s="9">
        <f t="shared" si="24"/>
        <v>5</v>
      </c>
      <c r="CD89" s="9">
        <f t="shared" si="25"/>
        <v>0</v>
      </c>
      <c r="CE89" s="21">
        <f t="shared" si="26"/>
        <v>5</v>
      </c>
      <c r="CF89" s="21">
        <f t="shared" si="27"/>
        <v>5</v>
      </c>
      <c r="CG89" s="21">
        <f t="shared" si="28"/>
        <v>4.416666666666667</v>
      </c>
      <c r="CH89" s="21">
        <f t="shared" si="29"/>
        <v>3</v>
      </c>
      <c r="CI89" s="21">
        <f t="shared" si="30"/>
        <v>5</v>
      </c>
      <c r="CJ89" s="21">
        <f t="shared" si="31"/>
        <v>4.4833333333333334</v>
      </c>
    </row>
    <row r="90" spans="1:88">
      <c r="A90" s="9">
        <v>89</v>
      </c>
      <c r="B90" s="9" t="s">
        <v>88</v>
      </c>
      <c r="C90" s="9" t="s">
        <v>85</v>
      </c>
      <c r="D90" s="9" t="s">
        <v>96</v>
      </c>
      <c r="E90" s="9" t="s">
        <v>78</v>
      </c>
      <c r="F90" s="9" t="s">
        <v>78</v>
      </c>
      <c r="G90" s="9">
        <v>2014</v>
      </c>
      <c r="H90" s="9" t="s">
        <v>65</v>
      </c>
      <c r="I90" s="9" t="s">
        <v>87</v>
      </c>
      <c r="J90" s="9" t="s">
        <v>65</v>
      </c>
      <c r="K90" s="9" t="s">
        <v>323</v>
      </c>
      <c r="N90" s="9" t="s">
        <v>70</v>
      </c>
      <c r="P90" s="10">
        <v>2</v>
      </c>
      <c r="Q90" s="10">
        <v>3</v>
      </c>
      <c r="R90" s="10">
        <v>2</v>
      </c>
      <c r="S90" s="10">
        <v>2</v>
      </c>
      <c r="T90" s="10">
        <v>2</v>
      </c>
      <c r="U90" s="10">
        <v>2</v>
      </c>
      <c r="V90" s="10">
        <v>2.1666666666666665</v>
      </c>
      <c r="W90" s="11">
        <v>3.5</v>
      </c>
      <c r="X90" s="11">
        <v>4</v>
      </c>
      <c r="Y90" s="11">
        <v>3</v>
      </c>
      <c r="Z90" s="11">
        <v>2.5</v>
      </c>
      <c r="AA90" s="11">
        <v>4</v>
      </c>
      <c r="AB90" s="11">
        <v>2</v>
      </c>
      <c r="AC90" s="11">
        <v>3.1666666666666665</v>
      </c>
      <c r="AD90" s="10"/>
      <c r="AE90" s="10"/>
      <c r="AF90" s="10"/>
      <c r="AG90" s="10"/>
      <c r="AH90" s="10"/>
      <c r="AI90" s="10"/>
      <c r="AJ90" s="10">
        <v>3</v>
      </c>
      <c r="AK90" s="10">
        <v>3</v>
      </c>
      <c r="AL90" s="10">
        <v>3</v>
      </c>
      <c r="AM90" s="10">
        <v>2</v>
      </c>
      <c r="AN90" s="10">
        <v>2.6666666666666665</v>
      </c>
      <c r="AO90" s="10">
        <v>3</v>
      </c>
      <c r="AP90" s="10">
        <v>2.25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X90" s="9">
        <f t="shared" si="19"/>
        <v>2</v>
      </c>
      <c r="BY90" s="9">
        <f t="shared" si="20"/>
        <v>3</v>
      </c>
      <c r="BZ90" s="9">
        <f t="shared" si="21"/>
        <v>2</v>
      </c>
      <c r="CA90" s="9">
        <f t="shared" si="22"/>
        <v>2</v>
      </c>
      <c r="CB90" s="9">
        <f t="shared" si="23"/>
        <v>3</v>
      </c>
      <c r="CC90" s="9">
        <f t="shared" si="24"/>
        <v>2.25</v>
      </c>
      <c r="CD90" s="9">
        <f t="shared" si="25"/>
        <v>2</v>
      </c>
      <c r="CE90" s="21">
        <f t="shared" si="26"/>
        <v>3.1666666666666665</v>
      </c>
      <c r="CF90" s="21">
        <f t="shared" si="27"/>
        <v>3</v>
      </c>
      <c r="CG90" s="21">
        <f t="shared" si="28"/>
        <v>2.1666666666666665</v>
      </c>
      <c r="CH90" s="21">
        <f t="shared" si="29"/>
        <v>2.6666666666666665</v>
      </c>
      <c r="CI90" s="21">
        <f t="shared" si="30"/>
        <v>2.25</v>
      </c>
      <c r="CJ90" s="21">
        <f t="shared" si="31"/>
        <v>2.6499999999999995</v>
      </c>
    </row>
    <row r="91" spans="1:88">
      <c r="A91" s="9">
        <v>90</v>
      </c>
      <c r="B91" s="9" t="s">
        <v>88</v>
      </c>
      <c r="C91" s="9" t="s">
        <v>141</v>
      </c>
      <c r="D91" s="9" t="s">
        <v>86</v>
      </c>
      <c r="E91" s="9" t="s">
        <v>78</v>
      </c>
      <c r="F91" s="9" t="s">
        <v>78</v>
      </c>
      <c r="H91" s="9" t="s">
        <v>65</v>
      </c>
      <c r="I91" s="9" t="s">
        <v>83</v>
      </c>
      <c r="K91" s="9" t="s">
        <v>322</v>
      </c>
      <c r="P91" s="10">
        <v>3</v>
      </c>
      <c r="Q91" s="10">
        <v>3</v>
      </c>
      <c r="R91" s="10">
        <v>3</v>
      </c>
      <c r="S91" s="10">
        <v>3</v>
      </c>
      <c r="T91" s="10">
        <v>3</v>
      </c>
      <c r="U91" s="10">
        <v>3</v>
      </c>
      <c r="V91" s="10">
        <v>3</v>
      </c>
      <c r="W91" s="11">
        <v>3.5</v>
      </c>
      <c r="X91" s="11">
        <v>4</v>
      </c>
      <c r="Y91" s="11">
        <v>4</v>
      </c>
      <c r="Z91" s="11">
        <v>4</v>
      </c>
      <c r="AA91" s="11">
        <v>4</v>
      </c>
      <c r="AB91" s="11">
        <v>3</v>
      </c>
      <c r="AC91" s="11">
        <v>3.75</v>
      </c>
      <c r="AD91" s="10"/>
      <c r="AE91" s="10"/>
      <c r="AF91" s="10"/>
      <c r="AG91" s="10"/>
      <c r="AH91" s="10"/>
      <c r="AI91" s="10"/>
      <c r="AJ91" s="10">
        <v>4</v>
      </c>
      <c r="AK91" s="10">
        <v>4</v>
      </c>
      <c r="AL91" s="10"/>
      <c r="AM91" s="10"/>
      <c r="AN91" s="10">
        <v>4</v>
      </c>
      <c r="AO91" s="10">
        <v>3</v>
      </c>
      <c r="AP91" s="10">
        <v>5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X91" s="9">
        <f t="shared" si="19"/>
        <v>3</v>
      </c>
      <c r="BY91" s="9">
        <f t="shared" si="20"/>
        <v>4</v>
      </c>
      <c r="BZ91" s="9">
        <f t="shared" si="21"/>
        <v>3</v>
      </c>
      <c r="CA91" s="9">
        <f t="shared" si="22"/>
        <v>4</v>
      </c>
      <c r="CB91" s="9">
        <f t="shared" si="23"/>
        <v>3</v>
      </c>
      <c r="CC91" s="9">
        <f t="shared" si="24"/>
        <v>5</v>
      </c>
      <c r="CD91" s="9">
        <f t="shared" si="25"/>
        <v>3</v>
      </c>
      <c r="CE91" s="21">
        <f t="shared" si="26"/>
        <v>3.75</v>
      </c>
      <c r="CF91" s="21">
        <f t="shared" si="27"/>
        <v>4</v>
      </c>
      <c r="CG91" s="21">
        <f t="shared" si="28"/>
        <v>3</v>
      </c>
      <c r="CH91" s="21">
        <f t="shared" si="29"/>
        <v>4</v>
      </c>
      <c r="CI91" s="21">
        <f t="shared" si="30"/>
        <v>5</v>
      </c>
      <c r="CJ91" s="21">
        <f t="shared" si="31"/>
        <v>3.95</v>
      </c>
    </row>
    <row r="92" spans="1:88">
      <c r="A92" s="9">
        <v>91</v>
      </c>
      <c r="B92" s="9" t="s">
        <v>88</v>
      </c>
      <c r="C92" s="9" t="s">
        <v>142</v>
      </c>
      <c r="D92" s="9" t="s">
        <v>72</v>
      </c>
      <c r="E92" s="9" t="s">
        <v>74</v>
      </c>
      <c r="F92" s="9" t="s">
        <v>78</v>
      </c>
      <c r="H92" s="9" t="s">
        <v>65</v>
      </c>
      <c r="I92" s="9" t="s">
        <v>65</v>
      </c>
      <c r="K92" s="9" t="s">
        <v>322</v>
      </c>
      <c r="P92" s="10">
        <v>3</v>
      </c>
      <c r="Q92" s="10">
        <v>3</v>
      </c>
      <c r="R92" s="10">
        <v>2</v>
      </c>
      <c r="S92" s="10">
        <v>1.5</v>
      </c>
      <c r="T92" s="10">
        <v>2.5</v>
      </c>
      <c r="U92" s="10">
        <v>3</v>
      </c>
      <c r="V92" s="10">
        <v>2.5</v>
      </c>
      <c r="W92" s="11">
        <v>3</v>
      </c>
      <c r="X92" s="11">
        <v>3</v>
      </c>
      <c r="Y92" s="11">
        <v>3</v>
      </c>
      <c r="Z92" s="11">
        <v>1.5</v>
      </c>
      <c r="AA92" s="11">
        <v>3.5</v>
      </c>
      <c r="AB92" s="11">
        <v>3</v>
      </c>
      <c r="AC92" s="11">
        <v>2.8333333333333335</v>
      </c>
      <c r="AD92" s="10"/>
      <c r="AE92" s="10"/>
      <c r="AF92" s="10"/>
      <c r="AG92" s="10"/>
      <c r="AH92" s="10"/>
      <c r="AI92" s="10"/>
      <c r="AJ92" s="10"/>
      <c r="AK92" s="10">
        <v>4</v>
      </c>
      <c r="AL92" s="10"/>
      <c r="AM92" s="10"/>
      <c r="AN92" s="10">
        <v>4</v>
      </c>
      <c r="AO92" s="10"/>
      <c r="AP92" s="10">
        <v>4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X92" s="9">
        <f t="shared" si="19"/>
        <v>1.5</v>
      </c>
      <c r="BY92" s="9">
        <f t="shared" si="20"/>
        <v>0</v>
      </c>
      <c r="BZ92" s="9">
        <f t="shared" si="21"/>
        <v>1.5</v>
      </c>
      <c r="CA92" s="9">
        <f t="shared" si="22"/>
        <v>4</v>
      </c>
      <c r="CB92" s="9">
        <f t="shared" si="23"/>
        <v>0</v>
      </c>
      <c r="CC92" s="9">
        <f t="shared" si="24"/>
        <v>4</v>
      </c>
      <c r="CD92" s="9">
        <f t="shared" si="25"/>
        <v>0</v>
      </c>
      <c r="CE92" s="21">
        <f t="shared" si="26"/>
        <v>2.8333333333333335</v>
      </c>
      <c r="CF92" s="21">
        <f t="shared" si="27"/>
        <v>0</v>
      </c>
      <c r="CG92" s="21">
        <f t="shared" si="28"/>
        <v>2.5</v>
      </c>
      <c r="CH92" s="21">
        <f t="shared" si="29"/>
        <v>4</v>
      </c>
      <c r="CI92" s="21">
        <f t="shared" si="30"/>
        <v>4</v>
      </c>
      <c r="CJ92" s="21">
        <f t="shared" si="31"/>
        <v>2.666666666666667</v>
      </c>
    </row>
    <row r="93" spans="1:88">
      <c r="A93" s="9">
        <v>92</v>
      </c>
      <c r="B93" s="9" t="s">
        <v>79</v>
      </c>
      <c r="C93" s="9" t="s">
        <v>98</v>
      </c>
      <c r="D93" s="9" t="s">
        <v>131</v>
      </c>
      <c r="E93" s="9" t="s">
        <v>78</v>
      </c>
      <c r="H93" s="9" t="s">
        <v>69</v>
      </c>
      <c r="I93" s="9" t="s">
        <v>87</v>
      </c>
      <c r="K93" s="9" t="s">
        <v>322</v>
      </c>
      <c r="N93" s="9" t="s">
        <v>70</v>
      </c>
      <c r="O93" s="9" t="s">
        <v>70</v>
      </c>
      <c r="P93" s="10">
        <v>4</v>
      </c>
      <c r="Q93" s="10">
        <v>4</v>
      </c>
      <c r="R93" s="10">
        <v>4</v>
      </c>
      <c r="S93" s="10">
        <v>4</v>
      </c>
      <c r="T93" s="10">
        <v>4</v>
      </c>
      <c r="U93" s="10">
        <v>4</v>
      </c>
      <c r="V93" s="10">
        <v>4</v>
      </c>
      <c r="W93" s="11">
        <v>5</v>
      </c>
      <c r="X93" s="11">
        <v>5</v>
      </c>
      <c r="Y93" s="11">
        <v>5</v>
      </c>
      <c r="Z93" s="11">
        <v>5</v>
      </c>
      <c r="AA93" s="11">
        <v>5</v>
      </c>
      <c r="AB93" s="11">
        <v>5</v>
      </c>
      <c r="AC93" s="11">
        <v>5</v>
      </c>
      <c r="AD93" s="10"/>
      <c r="AE93" s="10"/>
      <c r="AF93" s="10"/>
      <c r="AG93" s="10"/>
      <c r="AH93" s="10"/>
      <c r="AI93" s="10"/>
      <c r="AJ93" s="10">
        <v>5</v>
      </c>
      <c r="AK93" s="10">
        <v>1</v>
      </c>
      <c r="AL93" s="10">
        <v>5</v>
      </c>
      <c r="AM93" s="10">
        <v>5</v>
      </c>
      <c r="AN93" s="10">
        <v>3.6666666666666665</v>
      </c>
      <c r="AO93" s="10">
        <v>5</v>
      </c>
      <c r="AP93" s="10">
        <v>5</v>
      </c>
      <c r="AQ93" s="12">
        <v>2</v>
      </c>
      <c r="AR93" s="12">
        <v>3</v>
      </c>
      <c r="AS93" s="12">
        <v>3</v>
      </c>
      <c r="AT93" s="12">
        <v>3</v>
      </c>
      <c r="AU93" s="12">
        <v>3</v>
      </c>
      <c r="AV93" s="12">
        <v>2.8</v>
      </c>
      <c r="AW93" s="12">
        <v>3</v>
      </c>
      <c r="AX93" s="12">
        <v>3</v>
      </c>
      <c r="AY93" s="12">
        <v>2</v>
      </c>
      <c r="AZ93" s="12">
        <v>3</v>
      </c>
      <c r="BA93" s="12">
        <v>3</v>
      </c>
      <c r="BB93" s="13">
        <v>338</v>
      </c>
      <c r="BC93" s="13">
        <v>527</v>
      </c>
      <c r="BD93" s="13">
        <v>189</v>
      </c>
      <c r="BE93" s="13">
        <v>0.56000000000000005</v>
      </c>
      <c r="BF93" s="13" t="s">
        <v>209</v>
      </c>
      <c r="BG93" s="13" t="s">
        <v>326</v>
      </c>
      <c r="BH93" s="13" t="s">
        <v>330</v>
      </c>
      <c r="BI93" s="13" t="s">
        <v>325</v>
      </c>
      <c r="BX93" s="9">
        <f t="shared" si="19"/>
        <v>5</v>
      </c>
      <c r="BY93" s="9">
        <f t="shared" si="20"/>
        <v>5</v>
      </c>
      <c r="BZ93" s="9">
        <f t="shared" si="21"/>
        <v>4</v>
      </c>
      <c r="CA93" s="9">
        <f t="shared" si="22"/>
        <v>1</v>
      </c>
      <c r="CB93" s="9">
        <f t="shared" si="23"/>
        <v>5</v>
      </c>
      <c r="CC93" s="9">
        <f t="shared" si="24"/>
        <v>5</v>
      </c>
      <c r="CD93" s="9">
        <f t="shared" si="25"/>
        <v>1</v>
      </c>
      <c r="CE93" s="21">
        <f t="shared" si="26"/>
        <v>5</v>
      </c>
      <c r="CF93" s="21">
        <f t="shared" si="27"/>
        <v>5</v>
      </c>
      <c r="CG93" s="21">
        <f t="shared" si="28"/>
        <v>4</v>
      </c>
      <c r="CH93" s="21">
        <f t="shared" si="29"/>
        <v>3.6666666666666665</v>
      </c>
      <c r="CI93" s="21">
        <f t="shared" si="30"/>
        <v>5</v>
      </c>
      <c r="CJ93" s="21">
        <f t="shared" si="31"/>
        <v>4.5333333333333332</v>
      </c>
    </row>
    <row r="94" spans="1:88">
      <c r="A94" s="9">
        <v>93</v>
      </c>
      <c r="B94" s="9" t="s">
        <v>143</v>
      </c>
      <c r="D94" s="9" t="s">
        <v>111</v>
      </c>
      <c r="E94" s="9" t="s">
        <v>78</v>
      </c>
      <c r="F94" s="9" t="s">
        <v>78</v>
      </c>
      <c r="H94" s="9" t="s">
        <v>69</v>
      </c>
      <c r="I94" s="9" t="s">
        <v>69</v>
      </c>
      <c r="J94" s="9" t="s">
        <v>69</v>
      </c>
      <c r="K94" s="9" t="s">
        <v>92</v>
      </c>
      <c r="L94" s="9" t="s">
        <v>70</v>
      </c>
      <c r="P94" s="10">
        <v>4</v>
      </c>
      <c r="Q94" s="10">
        <v>4</v>
      </c>
      <c r="R94" s="10">
        <v>4</v>
      </c>
      <c r="S94" s="10">
        <v>4</v>
      </c>
      <c r="T94" s="10">
        <v>4</v>
      </c>
      <c r="U94" s="10">
        <v>4</v>
      </c>
      <c r="V94" s="10">
        <v>4</v>
      </c>
      <c r="W94" s="11">
        <v>4.5</v>
      </c>
      <c r="X94" s="11">
        <v>5</v>
      </c>
      <c r="Y94" s="11">
        <v>4</v>
      </c>
      <c r="Z94" s="11">
        <v>4.5</v>
      </c>
      <c r="AA94" s="11">
        <v>5</v>
      </c>
      <c r="AB94" s="11">
        <v>5</v>
      </c>
      <c r="AC94" s="11">
        <v>4.666666666666667</v>
      </c>
      <c r="AD94" s="10"/>
      <c r="AE94" s="10"/>
      <c r="AF94" s="10"/>
      <c r="AG94" s="10"/>
      <c r="AH94" s="10"/>
      <c r="AI94" s="10"/>
      <c r="AJ94" s="10">
        <v>5</v>
      </c>
      <c r="AK94" s="10">
        <v>5</v>
      </c>
      <c r="AL94" s="10">
        <v>5</v>
      </c>
      <c r="AM94" s="10"/>
      <c r="AN94" s="10">
        <v>5</v>
      </c>
      <c r="AO94" s="10"/>
      <c r="AP94" s="10">
        <v>1</v>
      </c>
      <c r="AQ94" s="12">
        <v>2</v>
      </c>
      <c r="AR94" s="12">
        <v>3</v>
      </c>
      <c r="AS94" s="12">
        <v>3</v>
      </c>
      <c r="AT94" s="12">
        <v>3</v>
      </c>
      <c r="AU94" s="12">
        <v>2</v>
      </c>
      <c r="AV94" s="12">
        <v>2.6</v>
      </c>
      <c r="AW94" s="12">
        <v>1</v>
      </c>
      <c r="AX94" s="12">
        <v>3</v>
      </c>
      <c r="AY94" s="12">
        <v>2</v>
      </c>
      <c r="AZ94" s="12">
        <v>1</v>
      </c>
      <c r="BA94" s="12">
        <v>1</v>
      </c>
      <c r="BB94" s="13">
        <v>458</v>
      </c>
      <c r="BC94" s="13">
        <v>764</v>
      </c>
      <c r="BD94" s="13">
        <v>36</v>
      </c>
      <c r="BE94" s="13">
        <v>0.67</v>
      </c>
      <c r="BF94" s="13" t="s">
        <v>217</v>
      </c>
      <c r="BG94" s="13" t="s">
        <v>324</v>
      </c>
      <c r="BI94" s="13" t="s">
        <v>325</v>
      </c>
      <c r="BX94" s="9">
        <f t="shared" si="19"/>
        <v>4</v>
      </c>
      <c r="BY94" s="9">
        <f t="shared" si="20"/>
        <v>5</v>
      </c>
      <c r="BZ94" s="9">
        <f t="shared" si="21"/>
        <v>4</v>
      </c>
      <c r="CA94" s="9">
        <f t="shared" si="22"/>
        <v>5</v>
      </c>
      <c r="CB94" s="9">
        <f t="shared" si="23"/>
        <v>0</v>
      </c>
      <c r="CC94" s="9">
        <f t="shared" si="24"/>
        <v>1</v>
      </c>
      <c r="CD94" s="9">
        <f t="shared" si="25"/>
        <v>0</v>
      </c>
      <c r="CE94" s="21">
        <f t="shared" si="26"/>
        <v>4.666666666666667</v>
      </c>
      <c r="CF94" s="21">
        <f t="shared" si="27"/>
        <v>5</v>
      </c>
      <c r="CG94" s="21">
        <f t="shared" si="28"/>
        <v>4</v>
      </c>
      <c r="CH94" s="21">
        <f t="shared" si="29"/>
        <v>5</v>
      </c>
      <c r="CI94" s="21">
        <f t="shared" si="30"/>
        <v>1</v>
      </c>
      <c r="CJ94" s="21">
        <f t="shared" si="31"/>
        <v>3.9333333333333336</v>
      </c>
    </row>
    <row r="95" spans="1:88">
      <c r="A95" s="9">
        <v>94</v>
      </c>
      <c r="B95" s="9" t="s">
        <v>79</v>
      </c>
      <c r="C95" s="9" t="s">
        <v>98</v>
      </c>
      <c r="D95" s="9" t="s">
        <v>144</v>
      </c>
      <c r="E95" s="9" t="s">
        <v>74</v>
      </c>
      <c r="F95" s="9" t="s">
        <v>78</v>
      </c>
      <c r="H95" s="9" t="s">
        <v>65</v>
      </c>
      <c r="I95" s="9" t="s">
        <v>87</v>
      </c>
      <c r="J95" s="9" t="s">
        <v>65</v>
      </c>
      <c r="K95" s="9" t="s">
        <v>323</v>
      </c>
      <c r="N95" s="9" t="s">
        <v>70</v>
      </c>
      <c r="O95" s="9" t="s">
        <v>70</v>
      </c>
      <c r="P95" s="10">
        <v>4</v>
      </c>
      <c r="Q95" s="10">
        <v>4</v>
      </c>
      <c r="R95" s="10">
        <v>1</v>
      </c>
      <c r="S95" s="10">
        <v>4</v>
      </c>
      <c r="T95" s="10">
        <v>3.5</v>
      </c>
      <c r="U95" s="10">
        <v>4</v>
      </c>
      <c r="V95" s="10">
        <v>3.4166666666666665</v>
      </c>
      <c r="W95" s="11">
        <v>4.5</v>
      </c>
      <c r="X95" s="11">
        <v>5</v>
      </c>
      <c r="Y95" s="11">
        <v>1</v>
      </c>
      <c r="Z95" s="11">
        <v>4</v>
      </c>
      <c r="AA95" s="11">
        <v>3.5</v>
      </c>
      <c r="AB95" s="11">
        <v>4</v>
      </c>
      <c r="AC95" s="11">
        <v>3.6666666666666665</v>
      </c>
      <c r="AD95" s="10"/>
      <c r="AE95" s="10"/>
      <c r="AF95" s="10"/>
      <c r="AG95" s="10"/>
      <c r="AH95" s="10"/>
      <c r="AI95" s="10"/>
      <c r="AJ95" s="10">
        <v>4</v>
      </c>
      <c r="AK95" s="10">
        <v>3</v>
      </c>
      <c r="AL95" s="10">
        <v>3</v>
      </c>
      <c r="AM95" s="10">
        <v>4</v>
      </c>
      <c r="AN95" s="10">
        <v>3.3333333333333335</v>
      </c>
      <c r="AO95" s="10">
        <v>4</v>
      </c>
      <c r="AP95" s="10">
        <v>5</v>
      </c>
      <c r="AQ95" s="12">
        <v>2</v>
      </c>
      <c r="AR95" s="12">
        <v>2</v>
      </c>
      <c r="AS95" s="12">
        <v>3</v>
      </c>
      <c r="AT95" s="12">
        <v>3</v>
      </c>
      <c r="AU95" s="12">
        <v>2</v>
      </c>
      <c r="AV95" s="12">
        <v>2.4</v>
      </c>
      <c r="AW95" s="12">
        <v>2</v>
      </c>
      <c r="AX95" s="12">
        <v>1</v>
      </c>
      <c r="AY95" s="12">
        <v>1</v>
      </c>
      <c r="AZ95" s="12">
        <v>1</v>
      </c>
      <c r="BA95" s="12">
        <v>2</v>
      </c>
      <c r="BB95" s="13">
        <v>47</v>
      </c>
      <c r="BC95" s="13">
        <v>62</v>
      </c>
      <c r="BD95" s="13">
        <v>195</v>
      </c>
      <c r="BE95" s="13">
        <v>0.48</v>
      </c>
      <c r="BF95" s="13" t="s">
        <v>217</v>
      </c>
      <c r="BG95" s="13" t="s">
        <v>324</v>
      </c>
      <c r="BI95" s="13" t="s">
        <v>325</v>
      </c>
      <c r="BX95" s="9">
        <f t="shared" si="19"/>
        <v>1</v>
      </c>
      <c r="BY95" s="9">
        <f t="shared" si="20"/>
        <v>4</v>
      </c>
      <c r="BZ95" s="9">
        <f t="shared" si="21"/>
        <v>1</v>
      </c>
      <c r="CA95" s="9">
        <f t="shared" si="22"/>
        <v>3</v>
      </c>
      <c r="CB95" s="9">
        <f t="shared" si="23"/>
        <v>4</v>
      </c>
      <c r="CC95" s="9">
        <f t="shared" si="24"/>
        <v>5</v>
      </c>
      <c r="CD95" s="9">
        <f t="shared" si="25"/>
        <v>1</v>
      </c>
      <c r="CE95" s="21">
        <f t="shared" si="26"/>
        <v>3.6666666666666665</v>
      </c>
      <c r="CF95" s="21">
        <f t="shared" si="27"/>
        <v>4</v>
      </c>
      <c r="CG95" s="21">
        <f t="shared" si="28"/>
        <v>3.4166666666666665</v>
      </c>
      <c r="CH95" s="21">
        <f t="shared" si="29"/>
        <v>3.3333333333333335</v>
      </c>
      <c r="CI95" s="21">
        <f t="shared" si="30"/>
        <v>5</v>
      </c>
      <c r="CJ95" s="21">
        <f t="shared" si="31"/>
        <v>3.8833333333333329</v>
      </c>
    </row>
    <row r="96" spans="1:88">
      <c r="A96" s="9">
        <v>95</v>
      </c>
      <c r="B96" s="9" t="s">
        <v>79</v>
      </c>
      <c r="C96" s="9" t="s">
        <v>85</v>
      </c>
      <c r="D96" s="9" t="s">
        <v>145</v>
      </c>
      <c r="E96" s="9" t="s">
        <v>68</v>
      </c>
      <c r="F96" s="9" t="s">
        <v>78</v>
      </c>
      <c r="G96" s="9">
        <v>2022</v>
      </c>
      <c r="H96" s="9" t="s">
        <v>65</v>
      </c>
      <c r="I96" s="9" t="s">
        <v>87</v>
      </c>
      <c r="J96" s="9" t="s">
        <v>65</v>
      </c>
      <c r="K96" s="9" t="s">
        <v>323</v>
      </c>
      <c r="N96" s="9" t="s">
        <v>70</v>
      </c>
      <c r="O96" s="9" t="s">
        <v>70</v>
      </c>
      <c r="P96" s="10">
        <v>5</v>
      </c>
      <c r="Q96" s="10">
        <v>5</v>
      </c>
      <c r="R96" s="10">
        <v>3</v>
      </c>
      <c r="S96" s="10">
        <v>3</v>
      </c>
      <c r="T96" s="10">
        <v>4</v>
      </c>
      <c r="U96" s="10">
        <v>3</v>
      </c>
      <c r="V96" s="10">
        <v>3.8333333333333335</v>
      </c>
      <c r="W96" s="11">
        <v>5</v>
      </c>
      <c r="X96" s="11">
        <v>5</v>
      </c>
      <c r="Y96" s="11">
        <v>5</v>
      </c>
      <c r="Z96" s="11">
        <v>5</v>
      </c>
      <c r="AA96" s="11">
        <v>5</v>
      </c>
      <c r="AB96" s="11">
        <v>5</v>
      </c>
      <c r="AC96" s="11">
        <v>5</v>
      </c>
      <c r="AD96" s="10"/>
      <c r="AE96" s="10"/>
      <c r="AF96" s="10"/>
      <c r="AG96" s="10"/>
      <c r="AH96" s="10"/>
      <c r="AI96" s="10"/>
      <c r="AJ96" s="10">
        <v>4</v>
      </c>
      <c r="AK96" s="10">
        <v>3</v>
      </c>
      <c r="AL96" s="10">
        <v>5</v>
      </c>
      <c r="AM96" s="10">
        <v>5</v>
      </c>
      <c r="AN96" s="10">
        <v>4.333333333333333</v>
      </c>
      <c r="AO96" s="10">
        <v>3</v>
      </c>
      <c r="AP96" s="10">
        <v>5</v>
      </c>
      <c r="AQ96" s="12">
        <v>3</v>
      </c>
      <c r="AR96" s="12">
        <v>2</v>
      </c>
      <c r="AS96" s="12">
        <v>2</v>
      </c>
      <c r="AT96" s="12">
        <v>3</v>
      </c>
      <c r="AU96" s="12">
        <v>3</v>
      </c>
      <c r="AV96" s="12">
        <v>2.6</v>
      </c>
      <c r="AW96" s="12">
        <v>2</v>
      </c>
      <c r="AX96" s="12">
        <v>3</v>
      </c>
      <c r="AY96" s="12">
        <v>2</v>
      </c>
      <c r="AZ96" s="12">
        <v>3</v>
      </c>
      <c r="BA96" s="12">
        <v>3</v>
      </c>
      <c r="BB96" s="13">
        <v>432</v>
      </c>
      <c r="BC96" s="13">
        <v>575</v>
      </c>
      <c r="BD96" s="13">
        <v>143</v>
      </c>
      <c r="BE96" s="13">
        <v>0.33</v>
      </c>
      <c r="BF96" s="13" t="s">
        <v>217</v>
      </c>
      <c r="BG96" s="13" t="s">
        <v>324</v>
      </c>
      <c r="BH96" s="13" t="s">
        <v>330</v>
      </c>
      <c r="BX96" s="9">
        <f t="shared" si="19"/>
        <v>5</v>
      </c>
      <c r="BY96" s="9">
        <f t="shared" si="20"/>
        <v>4</v>
      </c>
      <c r="BZ96" s="9">
        <f t="shared" si="21"/>
        <v>3</v>
      </c>
      <c r="CA96" s="9">
        <f t="shared" si="22"/>
        <v>3</v>
      </c>
      <c r="CB96" s="9">
        <f t="shared" si="23"/>
        <v>3</v>
      </c>
      <c r="CC96" s="9">
        <f t="shared" si="24"/>
        <v>5</v>
      </c>
      <c r="CD96" s="9">
        <f t="shared" si="25"/>
        <v>3</v>
      </c>
      <c r="CE96" s="21">
        <f t="shared" si="26"/>
        <v>5</v>
      </c>
      <c r="CF96" s="21">
        <f t="shared" si="27"/>
        <v>4</v>
      </c>
      <c r="CG96" s="21">
        <f t="shared" si="28"/>
        <v>3.8333333333333335</v>
      </c>
      <c r="CH96" s="21">
        <f t="shared" si="29"/>
        <v>4.333333333333333</v>
      </c>
      <c r="CI96" s="21">
        <f t="shared" si="30"/>
        <v>5</v>
      </c>
      <c r="CJ96" s="21">
        <f t="shared" si="31"/>
        <v>4.4333333333333336</v>
      </c>
    </row>
    <row r="97" spans="1:88">
      <c r="A97" s="9">
        <v>96</v>
      </c>
      <c r="B97" s="9" t="s">
        <v>79</v>
      </c>
      <c r="C97" s="9" t="s">
        <v>98</v>
      </c>
      <c r="D97" s="9" t="s">
        <v>146</v>
      </c>
      <c r="E97" s="9" t="s">
        <v>63</v>
      </c>
      <c r="F97" s="9" t="s">
        <v>78</v>
      </c>
      <c r="H97" s="9" t="s">
        <v>65</v>
      </c>
      <c r="I97" s="9" t="s">
        <v>87</v>
      </c>
      <c r="J97" s="9" t="s">
        <v>65</v>
      </c>
      <c r="K97" s="9" t="s">
        <v>323</v>
      </c>
      <c r="N97" s="9" t="s">
        <v>70</v>
      </c>
      <c r="O97" s="9" t="s">
        <v>70</v>
      </c>
      <c r="P97" s="10">
        <v>5</v>
      </c>
      <c r="Q97" s="10">
        <v>5</v>
      </c>
      <c r="R97" s="10">
        <v>4</v>
      </c>
      <c r="S97" s="10">
        <v>4</v>
      </c>
      <c r="T97" s="10">
        <v>4</v>
      </c>
      <c r="U97" s="10">
        <v>4</v>
      </c>
      <c r="V97" s="10">
        <v>4.333333333333333</v>
      </c>
      <c r="W97" s="11">
        <v>5</v>
      </c>
      <c r="X97" s="11">
        <v>5</v>
      </c>
      <c r="Y97" s="11">
        <v>4</v>
      </c>
      <c r="Z97" s="11">
        <v>4.5</v>
      </c>
      <c r="AA97" s="11">
        <v>5</v>
      </c>
      <c r="AB97" s="11">
        <v>5</v>
      </c>
      <c r="AC97" s="11">
        <v>4.75</v>
      </c>
      <c r="AD97" s="10"/>
      <c r="AE97" s="10"/>
      <c r="AF97" s="10"/>
      <c r="AG97" s="10"/>
      <c r="AH97" s="10"/>
      <c r="AI97" s="10"/>
      <c r="AJ97" s="10">
        <v>5</v>
      </c>
      <c r="AK97" s="10">
        <v>5</v>
      </c>
      <c r="AL97" s="10">
        <v>5</v>
      </c>
      <c r="AM97" s="10">
        <v>5</v>
      </c>
      <c r="AN97" s="10">
        <v>5</v>
      </c>
      <c r="AO97" s="10">
        <v>4</v>
      </c>
      <c r="AP97" s="10">
        <v>5</v>
      </c>
      <c r="AQ97" s="12">
        <v>3</v>
      </c>
      <c r="AR97" s="12">
        <v>2</v>
      </c>
      <c r="AS97" s="12">
        <v>2</v>
      </c>
      <c r="AT97" s="12">
        <v>3</v>
      </c>
      <c r="AU97" s="12">
        <v>3</v>
      </c>
      <c r="AV97" s="12">
        <v>2.6</v>
      </c>
      <c r="AW97" s="12">
        <v>1</v>
      </c>
      <c r="AX97" s="12">
        <v>3</v>
      </c>
      <c r="AY97" s="12">
        <v>3</v>
      </c>
      <c r="AZ97" s="12">
        <v>3</v>
      </c>
      <c r="BA97" s="12">
        <v>1</v>
      </c>
      <c r="BB97" s="13">
        <v>471</v>
      </c>
      <c r="BC97" s="13">
        <v>635</v>
      </c>
      <c r="BD97" s="13">
        <v>164</v>
      </c>
      <c r="BE97" s="13">
        <v>0.35</v>
      </c>
      <c r="BF97" s="13" t="s">
        <v>217</v>
      </c>
      <c r="BG97" s="13" t="s">
        <v>324</v>
      </c>
      <c r="BH97" s="13" t="s">
        <v>330</v>
      </c>
      <c r="BX97" s="9">
        <f t="shared" si="19"/>
        <v>4</v>
      </c>
      <c r="BY97" s="9">
        <f t="shared" si="20"/>
        <v>5</v>
      </c>
      <c r="BZ97" s="9">
        <f t="shared" si="21"/>
        <v>4</v>
      </c>
      <c r="CA97" s="9">
        <f t="shared" si="22"/>
        <v>5</v>
      </c>
      <c r="CB97" s="9">
        <f t="shared" si="23"/>
        <v>4</v>
      </c>
      <c r="CC97" s="9">
        <f t="shared" si="24"/>
        <v>5</v>
      </c>
      <c r="CD97" s="9">
        <f t="shared" si="25"/>
        <v>4</v>
      </c>
      <c r="CE97" s="21">
        <f t="shared" si="26"/>
        <v>4.75</v>
      </c>
      <c r="CF97" s="21">
        <f t="shared" si="27"/>
        <v>5</v>
      </c>
      <c r="CG97" s="21">
        <f t="shared" si="28"/>
        <v>4.333333333333333</v>
      </c>
      <c r="CH97" s="21">
        <f t="shared" si="29"/>
        <v>5</v>
      </c>
      <c r="CI97" s="21">
        <f t="shared" si="30"/>
        <v>5</v>
      </c>
      <c r="CJ97" s="21">
        <f t="shared" si="31"/>
        <v>4.8166666666666664</v>
      </c>
    </row>
    <row r="98" spans="1:88">
      <c r="A98" s="9">
        <v>97</v>
      </c>
      <c r="B98" s="9" t="s">
        <v>143</v>
      </c>
      <c r="C98" s="9" t="s">
        <v>134</v>
      </c>
      <c r="D98" s="9" t="s">
        <v>147</v>
      </c>
      <c r="E98" s="9" t="s">
        <v>105</v>
      </c>
      <c r="F98" s="9" t="s">
        <v>64</v>
      </c>
      <c r="H98" s="9" t="s">
        <v>65</v>
      </c>
      <c r="I98" s="9" t="s">
        <v>87</v>
      </c>
      <c r="K98" s="9" t="s">
        <v>322</v>
      </c>
      <c r="P98" s="10">
        <v>5</v>
      </c>
      <c r="Q98" s="10">
        <v>5</v>
      </c>
      <c r="R98" s="10">
        <v>5</v>
      </c>
      <c r="S98" s="10">
        <v>5</v>
      </c>
      <c r="T98" s="10">
        <v>5</v>
      </c>
      <c r="U98" s="10">
        <v>5</v>
      </c>
      <c r="V98" s="10">
        <v>5</v>
      </c>
      <c r="W98" s="11">
        <v>5</v>
      </c>
      <c r="X98" s="11">
        <v>5</v>
      </c>
      <c r="Y98" s="11">
        <v>5</v>
      </c>
      <c r="Z98" s="11">
        <v>5</v>
      </c>
      <c r="AA98" s="11">
        <v>5</v>
      </c>
      <c r="AB98" s="11">
        <v>5</v>
      </c>
      <c r="AC98" s="11">
        <v>5</v>
      </c>
      <c r="AD98" s="10"/>
      <c r="AE98" s="10"/>
      <c r="AF98" s="10"/>
      <c r="AG98" s="10"/>
      <c r="AH98" s="10"/>
      <c r="AI98" s="10"/>
      <c r="AJ98" s="10">
        <v>5</v>
      </c>
      <c r="AK98" s="10">
        <v>5</v>
      </c>
      <c r="AL98" s="10">
        <v>5</v>
      </c>
      <c r="AM98" s="10"/>
      <c r="AN98" s="10">
        <v>5</v>
      </c>
      <c r="AO98" s="10"/>
      <c r="AP98" s="10">
        <v>5</v>
      </c>
      <c r="AQ98" s="12">
        <v>3</v>
      </c>
      <c r="AR98" s="12">
        <v>3</v>
      </c>
      <c r="AS98" s="12">
        <v>3</v>
      </c>
      <c r="AT98" s="12">
        <v>3</v>
      </c>
      <c r="AU98" s="12">
        <v>3</v>
      </c>
      <c r="AV98" s="12">
        <v>3</v>
      </c>
      <c r="AW98" s="12">
        <v>3</v>
      </c>
      <c r="AX98" s="12">
        <v>3</v>
      </c>
      <c r="AY98" s="12">
        <v>1</v>
      </c>
      <c r="AZ98" s="12">
        <v>3</v>
      </c>
      <c r="BA98" s="12">
        <v>3</v>
      </c>
      <c r="BB98" s="13">
        <v>286</v>
      </c>
      <c r="BC98" s="13">
        <v>378</v>
      </c>
      <c r="BD98" s="13">
        <v>92</v>
      </c>
      <c r="BE98" s="13">
        <v>0.32</v>
      </c>
      <c r="BF98" s="13" t="s">
        <v>209</v>
      </c>
      <c r="BG98" s="13" t="s">
        <v>326</v>
      </c>
      <c r="BI98" s="13" t="s">
        <v>325</v>
      </c>
      <c r="BX98" s="9">
        <f t="shared" si="19"/>
        <v>5</v>
      </c>
      <c r="BY98" s="9">
        <f t="shared" si="20"/>
        <v>5</v>
      </c>
      <c r="BZ98" s="9">
        <f t="shared" si="21"/>
        <v>5</v>
      </c>
      <c r="CA98" s="9">
        <f t="shared" si="22"/>
        <v>5</v>
      </c>
      <c r="CB98" s="9">
        <f t="shared" si="23"/>
        <v>0</v>
      </c>
      <c r="CC98" s="9">
        <f t="shared" si="24"/>
        <v>5</v>
      </c>
      <c r="CD98" s="9">
        <f t="shared" si="25"/>
        <v>0</v>
      </c>
      <c r="CE98" s="21">
        <f t="shared" si="26"/>
        <v>5</v>
      </c>
      <c r="CF98" s="21">
        <f t="shared" si="27"/>
        <v>5</v>
      </c>
      <c r="CG98" s="21">
        <f t="shared" si="28"/>
        <v>5</v>
      </c>
      <c r="CH98" s="21">
        <f t="shared" si="29"/>
        <v>5</v>
      </c>
      <c r="CI98" s="21">
        <f t="shared" si="30"/>
        <v>5</v>
      </c>
      <c r="CJ98" s="21">
        <f t="shared" si="31"/>
        <v>5</v>
      </c>
    </row>
    <row r="99" spans="1:88">
      <c r="A99" s="9">
        <v>98</v>
      </c>
      <c r="B99" s="9" t="s">
        <v>79</v>
      </c>
      <c r="C99" s="9" t="s">
        <v>98</v>
      </c>
      <c r="D99" s="9" t="s">
        <v>131</v>
      </c>
      <c r="E99" s="9" t="s">
        <v>78</v>
      </c>
      <c r="F99" s="9" t="s">
        <v>64</v>
      </c>
      <c r="H99" s="9" t="s">
        <v>65</v>
      </c>
      <c r="I99" s="9" t="s">
        <v>87</v>
      </c>
      <c r="J99" s="9" t="s">
        <v>69</v>
      </c>
      <c r="K99" s="9" t="s">
        <v>323</v>
      </c>
      <c r="N99" s="9" t="s">
        <v>70</v>
      </c>
      <c r="O99" s="9" t="s">
        <v>70</v>
      </c>
      <c r="P99" s="10">
        <v>4</v>
      </c>
      <c r="Q99" s="10">
        <v>4</v>
      </c>
      <c r="R99" s="10">
        <v>4</v>
      </c>
      <c r="S99" s="10">
        <v>4</v>
      </c>
      <c r="T99" s="10">
        <v>4</v>
      </c>
      <c r="U99" s="10">
        <v>4</v>
      </c>
      <c r="V99" s="10">
        <v>4</v>
      </c>
      <c r="W99" s="11">
        <v>5</v>
      </c>
      <c r="X99" s="11">
        <v>5</v>
      </c>
      <c r="Y99" s="11">
        <v>5</v>
      </c>
      <c r="Z99" s="11">
        <v>5</v>
      </c>
      <c r="AA99" s="11">
        <v>5</v>
      </c>
      <c r="AB99" s="11">
        <v>5</v>
      </c>
      <c r="AC99" s="11">
        <v>5</v>
      </c>
      <c r="AD99" s="10"/>
      <c r="AE99" s="10"/>
      <c r="AF99" s="10"/>
      <c r="AG99" s="10"/>
      <c r="AH99" s="10"/>
      <c r="AI99" s="10"/>
      <c r="AJ99" s="10">
        <v>5</v>
      </c>
      <c r="AK99" s="10">
        <v>5</v>
      </c>
      <c r="AL99" s="10">
        <v>5</v>
      </c>
      <c r="AM99" s="10">
        <v>5</v>
      </c>
      <c r="AN99" s="10">
        <v>5</v>
      </c>
      <c r="AO99" s="10">
        <v>5</v>
      </c>
      <c r="AP99" s="10">
        <v>5</v>
      </c>
      <c r="AQ99" s="12">
        <v>3</v>
      </c>
      <c r="AR99" s="12">
        <v>3</v>
      </c>
      <c r="AS99" s="12">
        <v>3</v>
      </c>
      <c r="AT99" s="12">
        <v>3</v>
      </c>
      <c r="AU99" s="12">
        <v>2.5</v>
      </c>
      <c r="AV99" s="12">
        <v>2.9</v>
      </c>
      <c r="AW99" s="12">
        <v>3</v>
      </c>
      <c r="AX99" s="12">
        <v>3</v>
      </c>
      <c r="AY99" s="12">
        <v>2</v>
      </c>
      <c r="AZ99" s="12">
        <v>2</v>
      </c>
      <c r="BA99" s="12">
        <v>2</v>
      </c>
      <c r="BB99" s="13">
        <v>378</v>
      </c>
      <c r="BC99" s="13">
        <v>524</v>
      </c>
      <c r="BD99" s="13">
        <v>146</v>
      </c>
      <c r="BE99" s="13">
        <v>0.39</v>
      </c>
      <c r="BF99" s="13" t="s">
        <v>217</v>
      </c>
      <c r="BG99" s="13" t="s">
        <v>324</v>
      </c>
      <c r="BI99" s="13" t="s">
        <v>325</v>
      </c>
      <c r="BX99" s="9">
        <f t="shared" si="19"/>
        <v>5</v>
      </c>
      <c r="BY99" s="9">
        <f t="shared" si="20"/>
        <v>5</v>
      </c>
      <c r="BZ99" s="9">
        <f t="shared" si="21"/>
        <v>4</v>
      </c>
      <c r="CA99" s="9">
        <f t="shared" si="22"/>
        <v>5</v>
      </c>
      <c r="CB99" s="9">
        <f t="shared" si="23"/>
        <v>5</v>
      </c>
      <c r="CC99" s="9">
        <f t="shared" si="24"/>
        <v>5</v>
      </c>
      <c r="CD99" s="9">
        <f t="shared" si="25"/>
        <v>4</v>
      </c>
      <c r="CE99" s="21">
        <f t="shared" si="26"/>
        <v>5</v>
      </c>
      <c r="CF99" s="21">
        <f t="shared" si="27"/>
        <v>5</v>
      </c>
      <c r="CG99" s="21">
        <f t="shared" si="28"/>
        <v>4</v>
      </c>
      <c r="CH99" s="21">
        <f t="shared" si="29"/>
        <v>5</v>
      </c>
      <c r="CI99" s="21">
        <f t="shared" si="30"/>
        <v>5</v>
      </c>
      <c r="CJ99" s="21">
        <f t="shared" si="31"/>
        <v>4.8</v>
      </c>
    </row>
    <row r="100" spans="1:88">
      <c r="A100" s="9">
        <v>99</v>
      </c>
      <c r="B100" s="9" t="s">
        <v>79</v>
      </c>
      <c r="C100" s="9" t="s">
        <v>85</v>
      </c>
      <c r="D100" s="9" t="s">
        <v>148</v>
      </c>
      <c r="E100" s="9" t="s">
        <v>63</v>
      </c>
      <c r="F100" s="9" t="s">
        <v>78</v>
      </c>
      <c r="H100" s="9" t="s">
        <v>65</v>
      </c>
      <c r="I100" s="9" t="s">
        <v>87</v>
      </c>
      <c r="J100" s="9" t="s">
        <v>65</v>
      </c>
      <c r="K100" s="9" t="s">
        <v>323</v>
      </c>
      <c r="N100" s="9" t="s">
        <v>70</v>
      </c>
      <c r="O100" s="9" t="s">
        <v>70</v>
      </c>
      <c r="P100" s="10">
        <v>3</v>
      </c>
      <c r="Q100" s="10">
        <v>3</v>
      </c>
      <c r="R100" s="10">
        <v>2</v>
      </c>
      <c r="S100" s="10">
        <v>3</v>
      </c>
      <c r="T100" s="10">
        <v>3</v>
      </c>
      <c r="U100" s="10">
        <v>3</v>
      </c>
      <c r="V100" s="10">
        <v>2.8333333333333335</v>
      </c>
      <c r="W100" s="11">
        <v>5</v>
      </c>
      <c r="X100" s="11">
        <v>5</v>
      </c>
      <c r="Y100" s="11">
        <v>4</v>
      </c>
      <c r="Z100" s="11">
        <v>4.5</v>
      </c>
      <c r="AA100" s="11">
        <v>5</v>
      </c>
      <c r="AB100" s="11">
        <v>4</v>
      </c>
      <c r="AC100" s="11">
        <v>4.583333333333333</v>
      </c>
      <c r="AD100" s="10"/>
      <c r="AE100" s="10"/>
      <c r="AF100" s="10"/>
      <c r="AG100" s="10"/>
      <c r="AH100" s="10"/>
      <c r="AI100" s="10"/>
      <c r="AJ100" s="10">
        <v>2</v>
      </c>
      <c r="AK100" s="10">
        <v>4</v>
      </c>
      <c r="AL100" s="10">
        <v>4</v>
      </c>
      <c r="AM100" s="10">
        <v>4</v>
      </c>
      <c r="AN100" s="10">
        <v>4</v>
      </c>
      <c r="AO100" s="10">
        <v>5</v>
      </c>
      <c r="AP100" s="10">
        <v>5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X100" s="9">
        <f t="shared" si="19"/>
        <v>4</v>
      </c>
      <c r="BY100" s="9">
        <f t="shared" si="20"/>
        <v>2</v>
      </c>
      <c r="BZ100" s="9">
        <f t="shared" si="21"/>
        <v>2</v>
      </c>
      <c r="CA100" s="9">
        <f t="shared" si="22"/>
        <v>4</v>
      </c>
      <c r="CB100" s="9">
        <f t="shared" si="23"/>
        <v>5</v>
      </c>
      <c r="CC100" s="9">
        <f t="shared" si="24"/>
        <v>5</v>
      </c>
      <c r="CD100" s="9">
        <f t="shared" si="25"/>
        <v>2</v>
      </c>
      <c r="CE100" s="21">
        <f t="shared" si="26"/>
        <v>4.583333333333333</v>
      </c>
      <c r="CF100" s="21">
        <f t="shared" si="27"/>
        <v>2</v>
      </c>
      <c r="CG100" s="21">
        <f t="shared" si="28"/>
        <v>2.8333333333333335</v>
      </c>
      <c r="CH100" s="21">
        <f t="shared" si="29"/>
        <v>4</v>
      </c>
      <c r="CI100" s="21">
        <f t="shared" si="30"/>
        <v>5</v>
      </c>
      <c r="CJ100" s="21">
        <f t="shared" si="31"/>
        <v>3.6833333333333327</v>
      </c>
    </row>
    <row r="101" spans="1:88">
      <c r="A101" s="9">
        <v>100</v>
      </c>
      <c r="B101" s="9" t="s">
        <v>79</v>
      </c>
      <c r="C101" s="9" t="s">
        <v>149</v>
      </c>
      <c r="D101" s="9" t="s">
        <v>72</v>
      </c>
      <c r="E101" s="9" t="s">
        <v>78</v>
      </c>
      <c r="F101" s="9" t="s">
        <v>78</v>
      </c>
      <c r="G101" s="9">
        <v>2018</v>
      </c>
      <c r="H101" s="9" t="s">
        <v>69</v>
      </c>
      <c r="I101" s="9" t="s">
        <v>83</v>
      </c>
      <c r="K101" s="9" t="s">
        <v>322</v>
      </c>
      <c r="O101" s="9" t="s">
        <v>70</v>
      </c>
      <c r="P101" s="10">
        <v>3</v>
      </c>
      <c r="Q101" s="10">
        <v>3</v>
      </c>
      <c r="R101" s="10">
        <v>3</v>
      </c>
      <c r="S101" s="10">
        <v>3</v>
      </c>
      <c r="T101" s="10">
        <v>3</v>
      </c>
      <c r="U101" s="10">
        <v>3</v>
      </c>
      <c r="V101" s="10">
        <v>3</v>
      </c>
      <c r="W101" s="11">
        <v>2.5</v>
      </c>
      <c r="X101" s="11">
        <v>3</v>
      </c>
      <c r="Y101" s="11">
        <v>4</v>
      </c>
      <c r="Z101" s="11">
        <v>4</v>
      </c>
      <c r="AA101" s="11">
        <v>4</v>
      </c>
      <c r="AB101" s="11">
        <v>4</v>
      </c>
      <c r="AC101" s="11">
        <v>3.5833333333333335</v>
      </c>
      <c r="AD101" s="10"/>
      <c r="AE101" s="10"/>
      <c r="AF101" s="10"/>
      <c r="AG101" s="10"/>
      <c r="AH101" s="10"/>
      <c r="AI101" s="10"/>
      <c r="AJ101" s="10">
        <v>4</v>
      </c>
      <c r="AK101" s="10">
        <v>4</v>
      </c>
      <c r="AL101" s="10">
        <v>4</v>
      </c>
      <c r="AM101" s="10">
        <v>3</v>
      </c>
      <c r="AN101" s="10">
        <v>3.6666666666666665</v>
      </c>
      <c r="AO101" s="10">
        <v>4</v>
      </c>
      <c r="AP101" s="10">
        <v>5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X101" s="9">
        <f t="shared" si="19"/>
        <v>2.5</v>
      </c>
      <c r="BY101" s="9">
        <f t="shared" si="20"/>
        <v>4</v>
      </c>
      <c r="BZ101" s="9">
        <f t="shared" si="21"/>
        <v>3</v>
      </c>
      <c r="CA101" s="9">
        <f t="shared" si="22"/>
        <v>3</v>
      </c>
      <c r="CB101" s="9">
        <f t="shared" si="23"/>
        <v>4</v>
      </c>
      <c r="CC101" s="9">
        <f t="shared" si="24"/>
        <v>5</v>
      </c>
      <c r="CD101" s="9">
        <f t="shared" si="25"/>
        <v>2.5</v>
      </c>
      <c r="CE101" s="21">
        <f t="shared" si="26"/>
        <v>3.5833333333333335</v>
      </c>
      <c r="CF101" s="21">
        <f t="shared" si="27"/>
        <v>4</v>
      </c>
      <c r="CG101" s="21">
        <f t="shared" si="28"/>
        <v>3</v>
      </c>
      <c r="CH101" s="21">
        <f t="shared" si="29"/>
        <v>3.6666666666666665</v>
      </c>
      <c r="CI101" s="21">
        <f t="shared" si="30"/>
        <v>5</v>
      </c>
      <c r="CJ101" s="21">
        <f t="shared" si="31"/>
        <v>3.85</v>
      </c>
    </row>
    <row r="102" spans="1:88">
      <c r="A102" s="9">
        <v>101</v>
      </c>
      <c r="B102" s="9" t="s">
        <v>143</v>
      </c>
      <c r="C102" s="9" t="s">
        <v>98</v>
      </c>
      <c r="D102" s="9" t="s">
        <v>96</v>
      </c>
      <c r="E102" s="9" t="s">
        <v>74</v>
      </c>
      <c r="F102" s="9" t="s">
        <v>64</v>
      </c>
      <c r="G102" s="9">
        <v>2023</v>
      </c>
      <c r="H102" s="9" t="s">
        <v>69</v>
      </c>
      <c r="I102" s="9" t="s">
        <v>87</v>
      </c>
      <c r="K102" s="9" t="s">
        <v>92</v>
      </c>
      <c r="L102" s="9" t="s">
        <v>70</v>
      </c>
      <c r="P102" s="10">
        <v>4</v>
      </c>
      <c r="Q102" s="10">
        <v>4</v>
      </c>
      <c r="R102" s="10">
        <v>3</v>
      </c>
      <c r="S102" s="10">
        <v>4</v>
      </c>
      <c r="T102" s="10">
        <v>3</v>
      </c>
      <c r="U102" s="10">
        <v>4</v>
      </c>
      <c r="V102" s="10">
        <v>3.6666666666666665</v>
      </c>
      <c r="W102" s="11">
        <v>4.5</v>
      </c>
      <c r="X102" s="11">
        <v>4</v>
      </c>
      <c r="Y102" s="11">
        <v>2</v>
      </c>
      <c r="Z102" s="11">
        <v>4</v>
      </c>
      <c r="AA102" s="11">
        <v>4.5</v>
      </c>
      <c r="AB102" s="11">
        <v>4</v>
      </c>
      <c r="AC102" s="11">
        <v>3.8333333333333335</v>
      </c>
      <c r="AD102" s="10"/>
      <c r="AE102" s="10"/>
      <c r="AF102" s="10"/>
      <c r="AG102" s="10"/>
      <c r="AH102" s="10"/>
      <c r="AI102" s="10"/>
      <c r="AJ102" s="10">
        <v>5</v>
      </c>
      <c r="AK102" s="10">
        <v>4</v>
      </c>
      <c r="AL102" s="10">
        <v>5</v>
      </c>
      <c r="AM102" s="10"/>
      <c r="AN102" s="10">
        <v>4.5</v>
      </c>
      <c r="AO102" s="10">
        <v>4</v>
      </c>
      <c r="AP102" s="10">
        <v>5</v>
      </c>
      <c r="AQ102" s="12">
        <v>3</v>
      </c>
      <c r="AR102" s="12">
        <v>3</v>
      </c>
      <c r="AS102" s="12">
        <v>2</v>
      </c>
      <c r="AT102" s="12">
        <v>3</v>
      </c>
      <c r="AU102" s="12">
        <v>3</v>
      </c>
      <c r="AV102" s="12">
        <v>2.8</v>
      </c>
      <c r="AW102" s="12">
        <v>2</v>
      </c>
      <c r="AX102" s="12">
        <v>3</v>
      </c>
      <c r="AY102" s="12">
        <v>2</v>
      </c>
      <c r="AZ102" s="12">
        <v>3</v>
      </c>
      <c r="BA102" s="12">
        <v>1</v>
      </c>
      <c r="BB102" s="13">
        <v>411</v>
      </c>
      <c r="BC102" s="13">
        <v>558</v>
      </c>
      <c r="BD102" s="13">
        <v>147</v>
      </c>
      <c r="BE102" s="13">
        <v>0.36</v>
      </c>
      <c r="BF102" s="13" t="s">
        <v>333</v>
      </c>
      <c r="BG102" s="13" t="s">
        <v>326</v>
      </c>
      <c r="BH102" s="13" t="s">
        <v>327</v>
      </c>
      <c r="BI102" s="13" t="s">
        <v>325</v>
      </c>
      <c r="BX102" s="9">
        <f t="shared" si="19"/>
        <v>2</v>
      </c>
      <c r="BY102" s="9">
        <f t="shared" si="20"/>
        <v>5</v>
      </c>
      <c r="BZ102" s="9">
        <f t="shared" si="21"/>
        <v>3</v>
      </c>
      <c r="CA102" s="9">
        <f t="shared" si="22"/>
        <v>4</v>
      </c>
      <c r="CB102" s="9">
        <f t="shared" si="23"/>
        <v>4</v>
      </c>
      <c r="CC102" s="9">
        <f t="shared" si="24"/>
        <v>5</v>
      </c>
      <c r="CD102" s="9">
        <f t="shared" si="25"/>
        <v>2</v>
      </c>
      <c r="CE102" s="21">
        <f t="shared" si="26"/>
        <v>3.8333333333333335</v>
      </c>
      <c r="CF102" s="21">
        <f t="shared" si="27"/>
        <v>5</v>
      </c>
      <c r="CG102" s="21">
        <f t="shared" si="28"/>
        <v>3.6666666666666665</v>
      </c>
      <c r="CH102" s="21">
        <f t="shared" si="29"/>
        <v>4.5</v>
      </c>
      <c r="CI102" s="21">
        <f t="shared" si="30"/>
        <v>5</v>
      </c>
      <c r="CJ102" s="21">
        <f t="shared" si="31"/>
        <v>4.4000000000000004</v>
      </c>
    </row>
    <row r="103" spans="1:88">
      <c r="A103" s="9">
        <v>102</v>
      </c>
      <c r="B103" s="9" t="s">
        <v>79</v>
      </c>
      <c r="C103" s="9" t="s">
        <v>85</v>
      </c>
      <c r="D103" s="9" t="s">
        <v>150</v>
      </c>
      <c r="E103" s="9" t="s">
        <v>74</v>
      </c>
      <c r="F103" s="9" t="s">
        <v>78</v>
      </c>
      <c r="H103" s="9" t="s">
        <v>65</v>
      </c>
      <c r="I103" s="9" t="s">
        <v>87</v>
      </c>
      <c r="J103" s="9" t="s">
        <v>65</v>
      </c>
      <c r="K103" s="9" t="s">
        <v>323</v>
      </c>
      <c r="N103" s="9" t="s">
        <v>70</v>
      </c>
      <c r="O103" s="9" t="s">
        <v>70</v>
      </c>
      <c r="P103" s="10">
        <v>5</v>
      </c>
      <c r="Q103" s="10">
        <v>5</v>
      </c>
      <c r="R103" s="10">
        <v>4</v>
      </c>
      <c r="S103" s="10">
        <v>4</v>
      </c>
      <c r="T103" s="10">
        <v>5</v>
      </c>
      <c r="U103" s="10">
        <v>5</v>
      </c>
      <c r="V103" s="10">
        <v>4.666666666666667</v>
      </c>
      <c r="W103" s="11">
        <v>5</v>
      </c>
      <c r="X103" s="11">
        <v>5</v>
      </c>
      <c r="Y103" s="11">
        <v>5</v>
      </c>
      <c r="Z103" s="11">
        <v>5</v>
      </c>
      <c r="AA103" s="11">
        <v>5</v>
      </c>
      <c r="AB103" s="11">
        <v>5</v>
      </c>
      <c r="AC103" s="11">
        <v>5</v>
      </c>
      <c r="AD103" s="10"/>
      <c r="AE103" s="10"/>
      <c r="AF103" s="10"/>
      <c r="AG103" s="10"/>
      <c r="AH103" s="10"/>
      <c r="AI103" s="10"/>
      <c r="AJ103" s="10">
        <v>5</v>
      </c>
      <c r="AK103" s="10">
        <v>4</v>
      </c>
      <c r="AL103" s="10">
        <v>5</v>
      </c>
      <c r="AM103" s="10">
        <v>5</v>
      </c>
      <c r="AN103" s="10">
        <v>4.666666666666667</v>
      </c>
      <c r="AO103" s="10">
        <v>5</v>
      </c>
      <c r="AP103" s="10">
        <v>5</v>
      </c>
      <c r="AQ103" s="12">
        <v>3</v>
      </c>
      <c r="AR103" s="12">
        <v>3</v>
      </c>
      <c r="AS103" s="12">
        <v>3</v>
      </c>
      <c r="AT103" s="12">
        <v>3</v>
      </c>
      <c r="AU103" s="12">
        <v>3</v>
      </c>
      <c r="AV103" s="12">
        <v>3</v>
      </c>
      <c r="AW103" s="12">
        <v>2</v>
      </c>
      <c r="AX103" s="12">
        <v>3</v>
      </c>
      <c r="AY103" s="12">
        <v>3</v>
      </c>
      <c r="AZ103" s="12">
        <v>3</v>
      </c>
      <c r="BA103" s="12">
        <v>2</v>
      </c>
      <c r="BB103" s="13">
        <v>4</v>
      </c>
      <c r="BC103" s="13">
        <v>487</v>
      </c>
      <c r="BD103" s="13">
        <v>87</v>
      </c>
      <c r="BE103" s="13">
        <v>0.22</v>
      </c>
      <c r="BF103" s="13" t="s">
        <v>217</v>
      </c>
      <c r="BG103" s="13" t="s">
        <v>324</v>
      </c>
      <c r="BH103" s="13" t="s">
        <v>330</v>
      </c>
      <c r="BI103" s="13" t="s">
        <v>325</v>
      </c>
      <c r="BX103" s="9">
        <f t="shared" si="19"/>
        <v>5</v>
      </c>
      <c r="BY103" s="9">
        <f t="shared" si="20"/>
        <v>5</v>
      </c>
      <c r="BZ103" s="9">
        <f t="shared" si="21"/>
        <v>4</v>
      </c>
      <c r="CA103" s="9">
        <f t="shared" si="22"/>
        <v>4</v>
      </c>
      <c r="CB103" s="9">
        <f t="shared" si="23"/>
        <v>5</v>
      </c>
      <c r="CC103" s="9">
        <f t="shared" si="24"/>
        <v>5</v>
      </c>
      <c r="CD103" s="9">
        <f t="shared" si="25"/>
        <v>4</v>
      </c>
      <c r="CE103" s="21">
        <f t="shared" si="26"/>
        <v>5</v>
      </c>
      <c r="CF103" s="21">
        <f t="shared" si="27"/>
        <v>5</v>
      </c>
      <c r="CG103" s="21">
        <f t="shared" si="28"/>
        <v>4.666666666666667</v>
      </c>
      <c r="CH103" s="21">
        <f t="shared" si="29"/>
        <v>4.666666666666667</v>
      </c>
      <c r="CI103" s="21">
        <f t="shared" si="30"/>
        <v>5</v>
      </c>
      <c r="CJ103" s="21">
        <f t="shared" si="31"/>
        <v>4.8666666666666671</v>
      </c>
    </row>
    <row r="104" spans="1:88">
      <c r="A104" s="9">
        <v>103</v>
      </c>
      <c r="B104" s="9" t="s">
        <v>151</v>
      </c>
      <c r="C104" s="9" t="s">
        <v>85</v>
      </c>
      <c r="D104" s="9" t="s">
        <v>75</v>
      </c>
      <c r="E104" s="9" t="s">
        <v>63</v>
      </c>
      <c r="F104" s="9" t="s">
        <v>78</v>
      </c>
      <c r="G104" s="9">
        <v>2009</v>
      </c>
      <c r="H104" s="9" t="s">
        <v>65</v>
      </c>
      <c r="I104" s="9" t="s">
        <v>87</v>
      </c>
      <c r="J104" s="9" t="s">
        <v>65</v>
      </c>
      <c r="K104" s="9" t="s">
        <v>323</v>
      </c>
      <c r="O104" s="9" t="s">
        <v>70</v>
      </c>
      <c r="P104" s="10">
        <v>4.5</v>
      </c>
      <c r="Q104" s="10">
        <v>4</v>
      </c>
      <c r="R104" s="10">
        <v>4</v>
      </c>
      <c r="S104" s="10">
        <v>4</v>
      </c>
      <c r="T104" s="10">
        <v>4</v>
      </c>
      <c r="U104" s="10">
        <v>3</v>
      </c>
      <c r="V104" s="10">
        <v>3.9166666666666665</v>
      </c>
      <c r="W104" s="11">
        <v>4</v>
      </c>
      <c r="X104" s="11">
        <v>3</v>
      </c>
      <c r="Y104" s="11">
        <v>3</v>
      </c>
      <c r="Z104" s="11">
        <v>4</v>
      </c>
      <c r="AA104" s="11">
        <v>4.5</v>
      </c>
      <c r="AB104" s="11">
        <v>3</v>
      </c>
      <c r="AC104" s="11">
        <v>3.5833333333333335</v>
      </c>
      <c r="AD104" s="10"/>
      <c r="AE104" s="10"/>
      <c r="AF104" s="10"/>
      <c r="AG104" s="10"/>
      <c r="AH104" s="10"/>
      <c r="AI104" s="10"/>
      <c r="AJ104" s="10">
        <v>5</v>
      </c>
      <c r="AK104" s="10">
        <v>4</v>
      </c>
      <c r="AL104" s="10">
        <v>4</v>
      </c>
      <c r="AM104" s="10">
        <v>4</v>
      </c>
      <c r="AN104" s="10">
        <v>4</v>
      </c>
      <c r="AO104" s="10">
        <v>3</v>
      </c>
      <c r="AP104" s="10">
        <v>3</v>
      </c>
      <c r="AQ104" s="12">
        <v>2</v>
      </c>
      <c r="AR104" s="12">
        <v>2</v>
      </c>
      <c r="AS104" s="12">
        <v>3</v>
      </c>
      <c r="AT104" s="12">
        <v>2</v>
      </c>
      <c r="AU104" s="12">
        <v>2</v>
      </c>
      <c r="AV104" s="12">
        <v>2.2000000000000002</v>
      </c>
      <c r="AW104" s="12">
        <v>3</v>
      </c>
      <c r="AX104" s="12">
        <v>2</v>
      </c>
      <c r="AY104" s="12">
        <v>2</v>
      </c>
      <c r="AZ104" s="12">
        <v>2</v>
      </c>
      <c r="BA104" s="12">
        <v>3</v>
      </c>
      <c r="BB104" s="13">
        <v>567</v>
      </c>
      <c r="BC104" s="13">
        <v>771</v>
      </c>
      <c r="BD104" s="13">
        <v>24</v>
      </c>
      <c r="BE104" s="13">
        <v>0.36</v>
      </c>
      <c r="BF104" s="13" t="s">
        <v>209</v>
      </c>
      <c r="BG104" s="13" t="s">
        <v>326</v>
      </c>
      <c r="BH104" s="13" t="s">
        <v>330</v>
      </c>
      <c r="BI104" s="13" t="s">
        <v>325</v>
      </c>
      <c r="BX104" s="9">
        <f t="shared" si="19"/>
        <v>3</v>
      </c>
      <c r="BY104" s="9">
        <f t="shared" si="20"/>
        <v>5</v>
      </c>
      <c r="BZ104" s="9">
        <f t="shared" si="21"/>
        <v>3</v>
      </c>
      <c r="CA104" s="9">
        <f t="shared" si="22"/>
        <v>4</v>
      </c>
      <c r="CB104" s="9">
        <f t="shared" si="23"/>
        <v>3</v>
      </c>
      <c r="CC104" s="9">
        <f t="shared" si="24"/>
        <v>3</v>
      </c>
      <c r="CD104" s="9">
        <f t="shared" si="25"/>
        <v>3</v>
      </c>
      <c r="CE104" s="21">
        <f t="shared" si="26"/>
        <v>3.5833333333333335</v>
      </c>
      <c r="CF104" s="21">
        <f t="shared" si="27"/>
        <v>5</v>
      </c>
      <c r="CG104" s="21">
        <f t="shared" si="28"/>
        <v>3.9166666666666665</v>
      </c>
      <c r="CH104" s="21">
        <f t="shared" si="29"/>
        <v>4</v>
      </c>
      <c r="CI104" s="21">
        <f t="shared" si="30"/>
        <v>3</v>
      </c>
      <c r="CJ104" s="21">
        <f t="shared" si="31"/>
        <v>3.9</v>
      </c>
    </row>
    <row r="105" spans="1:88">
      <c r="A105" s="9">
        <v>104</v>
      </c>
      <c r="B105" s="9" t="s">
        <v>151</v>
      </c>
      <c r="C105" s="9" t="s">
        <v>134</v>
      </c>
      <c r="D105" s="9" t="s">
        <v>82</v>
      </c>
      <c r="E105" s="9" t="s">
        <v>63</v>
      </c>
      <c r="F105" s="9" t="s">
        <v>78</v>
      </c>
      <c r="G105" s="9">
        <v>2006</v>
      </c>
      <c r="H105" s="9" t="s">
        <v>65</v>
      </c>
      <c r="I105" s="9" t="s">
        <v>87</v>
      </c>
      <c r="J105" s="9" t="s">
        <v>65</v>
      </c>
      <c r="K105" s="9" t="s">
        <v>322</v>
      </c>
      <c r="N105" s="9" t="s">
        <v>70</v>
      </c>
      <c r="O105" s="9" t="s">
        <v>70</v>
      </c>
      <c r="P105" s="10">
        <v>3</v>
      </c>
      <c r="Q105" s="10">
        <v>3</v>
      </c>
      <c r="R105" s="10">
        <v>1</v>
      </c>
      <c r="S105" s="10">
        <v>3</v>
      </c>
      <c r="T105" s="10">
        <v>2</v>
      </c>
      <c r="U105" s="10">
        <v>3</v>
      </c>
      <c r="V105" s="10">
        <v>2.5</v>
      </c>
      <c r="W105" s="11">
        <v>2.5</v>
      </c>
      <c r="X105" s="11">
        <v>3</v>
      </c>
      <c r="Y105" s="11">
        <v>1</v>
      </c>
      <c r="Z105" s="11">
        <v>4.5</v>
      </c>
      <c r="AA105" s="11">
        <v>3</v>
      </c>
      <c r="AB105" s="11">
        <v>3</v>
      </c>
      <c r="AC105" s="11">
        <v>2.8333333333333335</v>
      </c>
      <c r="AD105" s="10"/>
      <c r="AE105" s="10"/>
      <c r="AF105" s="10"/>
      <c r="AG105" s="10"/>
      <c r="AH105" s="10"/>
      <c r="AI105" s="10"/>
      <c r="AJ105" s="10">
        <v>3</v>
      </c>
      <c r="AK105" s="10">
        <v>3</v>
      </c>
      <c r="AL105" s="10">
        <v>3</v>
      </c>
      <c r="AM105" s="10">
        <v>3</v>
      </c>
      <c r="AN105" s="10">
        <v>3</v>
      </c>
      <c r="AO105" s="10">
        <v>3</v>
      </c>
      <c r="AP105" s="10">
        <v>2.3333333333333335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X105" s="9">
        <f t="shared" si="19"/>
        <v>1</v>
      </c>
      <c r="BY105" s="9">
        <f t="shared" si="20"/>
        <v>3</v>
      </c>
      <c r="BZ105" s="9">
        <f t="shared" si="21"/>
        <v>1</v>
      </c>
      <c r="CA105" s="9">
        <f t="shared" si="22"/>
        <v>3</v>
      </c>
      <c r="CB105" s="9">
        <f t="shared" si="23"/>
        <v>3</v>
      </c>
      <c r="CC105" s="9">
        <f t="shared" si="24"/>
        <v>2.3333333333333335</v>
      </c>
      <c r="CD105" s="9">
        <f t="shared" si="25"/>
        <v>1</v>
      </c>
      <c r="CE105" s="21">
        <f t="shared" si="26"/>
        <v>2.8333333333333335</v>
      </c>
      <c r="CF105" s="21">
        <f t="shared" si="27"/>
        <v>3</v>
      </c>
      <c r="CG105" s="21">
        <f t="shared" si="28"/>
        <v>2.5</v>
      </c>
      <c r="CH105" s="21">
        <f t="shared" si="29"/>
        <v>3</v>
      </c>
      <c r="CI105" s="21">
        <f t="shared" si="30"/>
        <v>2.3333333333333335</v>
      </c>
      <c r="CJ105" s="21">
        <f t="shared" si="31"/>
        <v>2.7333333333333334</v>
      </c>
    </row>
    <row r="106" spans="1:88">
      <c r="A106" s="9">
        <v>105</v>
      </c>
      <c r="B106" s="9" t="s">
        <v>151</v>
      </c>
      <c r="C106" s="9" t="s">
        <v>85</v>
      </c>
      <c r="D106" s="9" t="s">
        <v>96</v>
      </c>
      <c r="E106" s="9" t="s">
        <v>105</v>
      </c>
      <c r="F106" s="9" t="s">
        <v>78</v>
      </c>
      <c r="G106" s="9">
        <v>2014</v>
      </c>
      <c r="H106" s="9" t="s">
        <v>65</v>
      </c>
      <c r="I106" s="9" t="s">
        <v>87</v>
      </c>
      <c r="J106" s="9" t="s">
        <v>65</v>
      </c>
      <c r="K106" s="9" t="s">
        <v>323</v>
      </c>
      <c r="N106" s="9" t="s">
        <v>70</v>
      </c>
      <c r="O106" s="9" t="s">
        <v>70</v>
      </c>
      <c r="P106" s="10">
        <v>3.5</v>
      </c>
      <c r="Q106" s="10">
        <v>3</v>
      </c>
      <c r="R106" s="10">
        <v>3</v>
      </c>
      <c r="S106" s="10">
        <v>4</v>
      </c>
      <c r="T106" s="10">
        <v>3.5</v>
      </c>
      <c r="U106" s="10">
        <v>3</v>
      </c>
      <c r="V106" s="10">
        <v>3.3333333333333335</v>
      </c>
      <c r="W106" s="11">
        <v>3</v>
      </c>
      <c r="X106" s="11">
        <v>3</v>
      </c>
      <c r="Y106" s="11">
        <v>3</v>
      </c>
      <c r="Z106" s="11">
        <v>3</v>
      </c>
      <c r="AA106" s="11">
        <v>3</v>
      </c>
      <c r="AB106" s="11">
        <v>3</v>
      </c>
      <c r="AC106" s="11">
        <v>3</v>
      </c>
      <c r="AD106" s="10"/>
      <c r="AE106" s="10"/>
      <c r="AF106" s="10"/>
      <c r="AG106" s="10"/>
      <c r="AH106" s="10"/>
      <c r="AI106" s="10"/>
      <c r="AJ106" s="10">
        <v>2</v>
      </c>
      <c r="AK106" s="10">
        <v>3</v>
      </c>
      <c r="AL106" s="10">
        <v>4</v>
      </c>
      <c r="AM106" s="10">
        <v>4</v>
      </c>
      <c r="AN106" s="10">
        <v>3.6666666666666665</v>
      </c>
      <c r="AO106" s="10">
        <v>4</v>
      </c>
      <c r="AP106" s="10">
        <v>4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X106" s="9">
        <f t="shared" si="19"/>
        <v>3</v>
      </c>
      <c r="BY106" s="9">
        <f t="shared" si="20"/>
        <v>2</v>
      </c>
      <c r="BZ106" s="9">
        <f t="shared" si="21"/>
        <v>3</v>
      </c>
      <c r="CA106" s="9">
        <f t="shared" si="22"/>
        <v>3</v>
      </c>
      <c r="CB106" s="9">
        <f t="shared" si="23"/>
        <v>4</v>
      </c>
      <c r="CC106" s="9">
        <f t="shared" si="24"/>
        <v>4</v>
      </c>
      <c r="CD106" s="9">
        <f t="shared" si="25"/>
        <v>2</v>
      </c>
      <c r="CE106" s="21">
        <f t="shared" si="26"/>
        <v>3</v>
      </c>
      <c r="CF106" s="21">
        <f t="shared" si="27"/>
        <v>2</v>
      </c>
      <c r="CG106" s="21">
        <f t="shared" si="28"/>
        <v>3.3333333333333335</v>
      </c>
      <c r="CH106" s="21">
        <f t="shared" si="29"/>
        <v>3.6666666666666665</v>
      </c>
      <c r="CI106" s="21">
        <f t="shared" si="30"/>
        <v>4</v>
      </c>
      <c r="CJ106" s="21">
        <f t="shared" si="31"/>
        <v>3.2</v>
      </c>
    </row>
    <row r="107" spans="1:88">
      <c r="A107" s="9">
        <v>106</v>
      </c>
      <c r="B107" s="9" t="s">
        <v>151</v>
      </c>
      <c r="C107" s="9" t="s">
        <v>85</v>
      </c>
      <c r="D107" s="9" t="s">
        <v>116</v>
      </c>
      <c r="E107" s="9" t="s">
        <v>74</v>
      </c>
      <c r="F107" s="9" t="s">
        <v>64</v>
      </c>
      <c r="G107" s="9">
        <v>2010</v>
      </c>
      <c r="H107" s="9" t="s">
        <v>65</v>
      </c>
      <c r="I107" s="9" t="s">
        <v>87</v>
      </c>
      <c r="J107" s="9" t="s">
        <v>65</v>
      </c>
      <c r="K107" s="9" t="s">
        <v>323</v>
      </c>
      <c r="N107" s="9" t="s">
        <v>70</v>
      </c>
      <c r="O107" s="9" t="s">
        <v>70</v>
      </c>
      <c r="P107" s="10">
        <v>3</v>
      </c>
      <c r="Q107" s="10">
        <v>3</v>
      </c>
      <c r="R107" s="10">
        <v>3</v>
      </c>
      <c r="S107" s="10">
        <v>3</v>
      </c>
      <c r="T107" s="10">
        <v>3</v>
      </c>
      <c r="U107" s="10">
        <v>3</v>
      </c>
      <c r="V107" s="10">
        <v>3</v>
      </c>
      <c r="W107" s="11">
        <v>4</v>
      </c>
      <c r="X107" s="11">
        <v>4</v>
      </c>
      <c r="Y107" s="11">
        <v>4</v>
      </c>
      <c r="Z107" s="11">
        <v>4</v>
      </c>
      <c r="AA107" s="11">
        <v>4</v>
      </c>
      <c r="AB107" s="11">
        <v>1</v>
      </c>
      <c r="AC107" s="11">
        <v>3.5</v>
      </c>
      <c r="AD107" s="10"/>
      <c r="AE107" s="10"/>
      <c r="AF107" s="10"/>
      <c r="AG107" s="10"/>
      <c r="AH107" s="10"/>
      <c r="AI107" s="10"/>
      <c r="AJ107" s="10">
        <v>2</v>
      </c>
      <c r="AK107" s="10">
        <v>2</v>
      </c>
      <c r="AL107" s="10">
        <v>4</v>
      </c>
      <c r="AM107" s="10">
        <v>4</v>
      </c>
      <c r="AN107" s="10">
        <v>3.3333333333333335</v>
      </c>
      <c r="AO107" s="10">
        <v>3</v>
      </c>
      <c r="AP107" s="10">
        <v>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X107" s="9">
        <f t="shared" si="19"/>
        <v>1</v>
      </c>
      <c r="BY107" s="9">
        <f t="shared" si="20"/>
        <v>2</v>
      </c>
      <c r="BZ107" s="9">
        <f t="shared" si="21"/>
        <v>3</v>
      </c>
      <c r="CA107" s="9">
        <f t="shared" si="22"/>
        <v>2</v>
      </c>
      <c r="CB107" s="9">
        <f t="shared" si="23"/>
        <v>3</v>
      </c>
      <c r="CC107" s="9">
        <f t="shared" si="24"/>
        <v>3</v>
      </c>
      <c r="CD107" s="9">
        <f t="shared" si="25"/>
        <v>1</v>
      </c>
      <c r="CE107" s="21">
        <f t="shared" si="26"/>
        <v>3.5</v>
      </c>
      <c r="CF107" s="21">
        <f t="shared" si="27"/>
        <v>2</v>
      </c>
      <c r="CG107" s="21">
        <f t="shared" si="28"/>
        <v>3</v>
      </c>
      <c r="CH107" s="21">
        <f t="shared" si="29"/>
        <v>3.3333333333333335</v>
      </c>
      <c r="CI107" s="21">
        <f t="shared" si="30"/>
        <v>3</v>
      </c>
      <c r="CJ107" s="21">
        <f t="shared" si="31"/>
        <v>2.9666666666666668</v>
      </c>
    </row>
    <row r="108" spans="1:88">
      <c r="A108" s="9">
        <v>107</v>
      </c>
      <c r="B108" s="9" t="s">
        <v>151</v>
      </c>
      <c r="C108" s="9" t="s">
        <v>85</v>
      </c>
      <c r="D108" s="9" t="s">
        <v>72</v>
      </c>
      <c r="E108" s="9" t="s">
        <v>74</v>
      </c>
      <c r="F108" s="9" t="s">
        <v>78</v>
      </c>
      <c r="G108" s="9">
        <v>2019</v>
      </c>
      <c r="H108" s="9" t="s">
        <v>65</v>
      </c>
      <c r="I108" s="9" t="s">
        <v>87</v>
      </c>
      <c r="J108" s="9" t="s">
        <v>65</v>
      </c>
      <c r="K108" s="9" t="s">
        <v>323</v>
      </c>
      <c r="N108" s="9" t="s">
        <v>70</v>
      </c>
      <c r="O108" s="9" t="s">
        <v>70</v>
      </c>
      <c r="P108" s="10">
        <v>2</v>
      </c>
      <c r="Q108" s="10">
        <v>2</v>
      </c>
      <c r="R108" s="10">
        <v>2</v>
      </c>
      <c r="S108" s="10">
        <v>2</v>
      </c>
      <c r="T108" s="10">
        <v>2</v>
      </c>
      <c r="U108" s="10">
        <v>2</v>
      </c>
      <c r="V108" s="10">
        <v>2</v>
      </c>
      <c r="W108" s="11">
        <v>3.5</v>
      </c>
      <c r="X108" s="11">
        <v>1</v>
      </c>
      <c r="Y108" s="11">
        <v>1</v>
      </c>
      <c r="Z108" s="11">
        <v>1</v>
      </c>
      <c r="AA108" s="11">
        <v>1</v>
      </c>
      <c r="AB108" s="11">
        <v>1</v>
      </c>
      <c r="AC108" s="11">
        <v>1.4166666666666667</v>
      </c>
      <c r="AD108" s="10"/>
      <c r="AE108" s="10"/>
      <c r="AF108" s="10"/>
      <c r="AG108" s="10"/>
      <c r="AH108" s="10"/>
      <c r="AI108" s="10"/>
      <c r="AJ108" s="10">
        <v>3</v>
      </c>
      <c r="AK108" s="10">
        <v>3</v>
      </c>
      <c r="AL108" s="10">
        <v>4</v>
      </c>
      <c r="AM108" s="10"/>
      <c r="AN108" s="10">
        <v>3.5</v>
      </c>
      <c r="AO108" s="10">
        <v>3</v>
      </c>
      <c r="AP108" s="10">
        <v>5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X108" s="9">
        <f t="shared" si="19"/>
        <v>1</v>
      </c>
      <c r="BY108" s="9">
        <f t="shared" si="20"/>
        <v>3</v>
      </c>
      <c r="BZ108" s="9">
        <f t="shared" si="21"/>
        <v>2</v>
      </c>
      <c r="CA108" s="9">
        <f t="shared" si="22"/>
        <v>3</v>
      </c>
      <c r="CB108" s="9">
        <f t="shared" si="23"/>
        <v>3</v>
      </c>
      <c r="CC108" s="9">
        <f t="shared" si="24"/>
        <v>5</v>
      </c>
      <c r="CD108" s="9">
        <f t="shared" si="25"/>
        <v>1</v>
      </c>
      <c r="CE108" s="21">
        <f t="shared" si="26"/>
        <v>1.4166666666666667</v>
      </c>
      <c r="CF108" s="21">
        <f t="shared" si="27"/>
        <v>3</v>
      </c>
      <c r="CG108" s="21">
        <f t="shared" si="28"/>
        <v>2</v>
      </c>
      <c r="CH108" s="21">
        <f t="shared" si="29"/>
        <v>3.5</v>
      </c>
      <c r="CI108" s="21">
        <f t="shared" si="30"/>
        <v>5</v>
      </c>
      <c r="CJ108" s="21">
        <f t="shared" si="31"/>
        <v>2.9833333333333334</v>
      </c>
    </row>
    <row r="109" spans="1:88">
      <c r="A109" s="9">
        <v>108</v>
      </c>
      <c r="B109" s="9" t="s">
        <v>151</v>
      </c>
      <c r="C109" s="9" t="s">
        <v>98</v>
      </c>
      <c r="D109" s="9" t="s">
        <v>62</v>
      </c>
      <c r="E109" s="9" t="s">
        <v>63</v>
      </c>
      <c r="F109" s="9" t="s">
        <v>64</v>
      </c>
      <c r="G109" s="9">
        <v>2015</v>
      </c>
      <c r="H109" s="9" t="s">
        <v>65</v>
      </c>
      <c r="I109" s="9" t="s">
        <v>87</v>
      </c>
      <c r="J109" s="9" t="s">
        <v>65</v>
      </c>
      <c r="K109" s="9" t="s">
        <v>323</v>
      </c>
      <c r="P109" s="10">
        <v>4</v>
      </c>
      <c r="Q109" s="10">
        <v>4</v>
      </c>
      <c r="R109" s="10">
        <v>3</v>
      </c>
      <c r="S109" s="10">
        <v>4</v>
      </c>
      <c r="T109" s="10">
        <v>4</v>
      </c>
      <c r="U109" s="10">
        <v>4</v>
      </c>
      <c r="V109" s="10">
        <v>3.8333333333333335</v>
      </c>
      <c r="W109" s="11">
        <v>3</v>
      </c>
      <c r="X109" s="11">
        <v>3</v>
      </c>
      <c r="Y109" s="11">
        <v>3</v>
      </c>
      <c r="Z109" s="11">
        <v>4</v>
      </c>
      <c r="AA109" s="11">
        <v>3</v>
      </c>
      <c r="AB109" s="11">
        <v>4</v>
      </c>
      <c r="AC109" s="11">
        <v>3.3333333333333335</v>
      </c>
      <c r="AD109" s="10"/>
      <c r="AE109" s="10"/>
      <c r="AF109" s="10"/>
      <c r="AG109" s="10"/>
      <c r="AH109" s="10"/>
      <c r="AI109" s="10"/>
      <c r="AJ109" s="10">
        <v>4</v>
      </c>
      <c r="AK109" s="10">
        <v>1</v>
      </c>
      <c r="AL109" s="10">
        <v>4</v>
      </c>
      <c r="AM109" s="10"/>
      <c r="AN109" s="10">
        <v>2.5</v>
      </c>
      <c r="AO109" s="10"/>
      <c r="AP109" s="10">
        <v>4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X109" s="9">
        <f t="shared" si="19"/>
        <v>3</v>
      </c>
      <c r="BY109" s="9">
        <f t="shared" si="20"/>
        <v>4</v>
      </c>
      <c r="BZ109" s="9">
        <f t="shared" si="21"/>
        <v>3</v>
      </c>
      <c r="CA109" s="9">
        <f t="shared" si="22"/>
        <v>1</v>
      </c>
      <c r="CB109" s="9">
        <f t="shared" si="23"/>
        <v>0</v>
      </c>
      <c r="CC109" s="9">
        <f t="shared" si="24"/>
        <v>4</v>
      </c>
      <c r="CD109" s="9">
        <f t="shared" si="25"/>
        <v>0</v>
      </c>
      <c r="CE109" s="21">
        <f t="shared" si="26"/>
        <v>3.3333333333333335</v>
      </c>
      <c r="CF109" s="21">
        <f t="shared" si="27"/>
        <v>4</v>
      </c>
      <c r="CG109" s="21">
        <f t="shared" si="28"/>
        <v>3.8333333333333335</v>
      </c>
      <c r="CH109" s="21">
        <f t="shared" si="29"/>
        <v>2.5</v>
      </c>
      <c r="CI109" s="21">
        <f t="shared" si="30"/>
        <v>4</v>
      </c>
      <c r="CJ109" s="21">
        <f t="shared" si="31"/>
        <v>3.5333333333333337</v>
      </c>
    </row>
    <row r="110" spans="1:88">
      <c r="A110" s="9">
        <v>109</v>
      </c>
      <c r="B110" s="9" t="s">
        <v>151</v>
      </c>
      <c r="C110" s="9" t="s">
        <v>85</v>
      </c>
      <c r="D110" s="9" t="s">
        <v>72</v>
      </c>
      <c r="E110" s="9" t="s">
        <v>78</v>
      </c>
      <c r="F110" s="9" t="s">
        <v>64</v>
      </c>
      <c r="G110" s="9">
        <v>2019</v>
      </c>
      <c r="H110" s="9" t="s">
        <v>65</v>
      </c>
      <c r="I110" s="9" t="s">
        <v>87</v>
      </c>
      <c r="J110" s="9" t="s">
        <v>65</v>
      </c>
      <c r="K110" s="9" t="s">
        <v>323</v>
      </c>
      <c r="N110" s="9" t="s">
        <v>70</v>
      </c>
      <c r="O110" s="9" t="s">
        <v>70</v>
      </c>
      <c r="P110" s="10">
        <v>4</v>
      </c>
      <c r="Q110" s="10">
        <v>4</v>
      </c>
      <c r="R110" s="10">
        <v>3</v>
      </c>
      <c r="S110" s="10">
        <v>3</v>
      </c>
      <c r="T110" s="10">
        <v>3</v>
      </c>
      <c r="U110" s="10">
        <v>3</v>
      </c>
      <c r="V110" s="10">
        <v>3.3333333333333335</v>
      </c>
      <c r="W110" s="11">
        <v>3.5</v>
      </c>
      <c r="X110" s="11">
        <v>3</v>
      </c>
      <c r="Y110" s="11">
        <v>2</v>
      </c>
      <c r="Z110" s="11">
        <v>4</v>
      </c>
      <c r="AA110" s="11">
        <v>3</v>
      </c>
      <c r="AB110" s="11">
        <v>2</v>
      </c>
      <c r="AC110" s="11">
        <v>2.9166666666666665</v>
      </c>
      <c r="AD110" s="10"/>
      <c r="AE110" s="10"/>
      <c r="AF110" s="10"/>
      <c r="AG110" s="10"/>
      <c r="AH110" s="10"/>
      <c r="AI110" s="10"/>
      <c r="AJ110" s="10">
        <v>4</v>
      </c>
      <c r="AK110" s="10">
        <v>3</v>
      </c>
      <c r="AL110" s="10">
        <v>3</v>
      </c>
      <c r="AM110" s="10">
        <v>3</v>
      </c>
      <c r="AN110" s="10">
        <v>3</v>
      </c>
      <c r="AO110" s="10">
        <v>3</v>
      </c>
      <c r="AP110" s="10">
        <v>5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X110" s="9">
        <f t="shared" si="19"/>
        <v>2</v>
      </c>
      <c r="BY110" s="9">
        <f t="shared" si="20"/>
        <v>4</v>
      </c>
      <c r="BZ110" s="9">
        <f t="shared" si="21"/>
        <v>3</v>
      </c>
      <c r="CA110" s="9">
        <f t="shared" si="22"/>
        <v>3</v>
      </c>
      <c r="CB110" s="9">
        <f t="shared" si="23"/>
        <v>3</v>
      </c>
      <c r="CC110" s="9">
        <f t="shared" si="24"/>
        <v>5</v>
      </c>
      <c r="CD110" s="9">
        <f t="shared" si="25"/>
        <v>2</v>
      </c>
      <c r="CE110" s="21">
        <f t="shared" si="26"/>
        <v>2.9166666666666665</v>
      </c>
      <c r="CF110" s="21">
        <f t="shared" si="27"/>
        <v>4</v>
      </c>
      <c r="CG110" s="21">
        <f t="shared" si="28"/>
        <v>3.3333333333333335</v>
      </c>
      <c r="CH110" s="21">
        <f t="shared" si="29"/>
        <v>3</v>
      </c>
      <c r="CI110" s="21">
        <f t="shared" si="30"/>
        <v>5</v>
      </c>
      <c r="CJ110" s="21">
        <f t="shared" si="31"/>
        <v>3.65</v>
      </c>
    </row>
    <row r="111" spans="1:88">
      <c r="A111" s="9">
        <v>110</v>
      </c>
      <c r="B111" s="9" t="s">
        <v>151</v>
      </c>
      <c r="C111" s="9" t="s">
        <v>85</v>
      </c>
      <c r="D111" s="9" t="s">
        <v>72</v>
      </c>
      <c r="E111" s="9" t="s">
        <v>74</v>
      </c>
      <c r="F111" s="9" t="s">
        <v>64</v>
      </c>
      <c r="G111" s="9">
        <v>2012</v>
      </c>
      <c r="H111" s="9" t="s">
        <v>65</v>
      </c>
      <c r="I111" s="9" t="s">
        <v>87</v>
      </c>
      <c r="J111" s="9" t="s">
        <v>65</v>
      </c>
      <c r="K111" s="9" t="s">
        <v>323</v>
      </c>
      <c r="N111" s="9" t="s">
        <v>70</v>
      </c>
      <c r="O111" s="9" t="s">
        <v>70</v>
      </c>
      <c r="P111" s="10">
        <v>4</v>
      </c>
      <c r="Q111" s="10">
        <v>4</v>
      </c>
      <c r="R111" s="10">
        <v>3</v>
      </c>
      <c r="S111" s="10">
        <v>3</v>
      </c>
      <c r="T111" s="10">
        <v>3.5</v>
      </c>
      <c r="U111" s="10">
        <v>3</v>
      </c>
      <c r="V111" s="10">
        <v>3.4166666666666665</v>
      </c>
      <c r="W111" s="11">
        <v>3</v>
      </c>
      <c r="X111" s="11">
        <v>3</v>
      </c>
      <c r="Y111" s="11">
        <v>3</v>
      </c>
      <c r="Z111" s="11">
        <v>3</v>
      </c>
      <c r="AA111" s="11">
        <v>3</v>
      </c>
      <c r="AB111" s="11">
        <v>1</v>
      </c>
      <c r="AC111" s="11">
        <v>2.6666666666666665</v>
      </c>
      <c r="AD111" s="10"/>
      <c r="AE111" s="10"/>
      <c r="AF111" s="10"/>
      <c r="AG111" s="10"/>
      <c r="AH111" s="10"/>
      <c r="AI111" s="10"/>
      <c r="AJ111" s="10">
        <v>1</v>
      </c>
      <c r="AK111" s="10">
        <v>3</v>
      </c>
      <c r="AL111" s="10">
        <v>3</v>
      </c>
      <c r="AM111" s="10">
        <v>3</v>
      </c>
      <c r="AN111" s="10">
        <v>3</v>
      </c>
      <c r="AO111" s="10">
        <v>4</v>
      </c>
      <c r="AP111" s="10">
        <v>3.6666666666666665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X111" s="9">
        <f t="shared" si="19"/>
        <v>1</v>
      </c>
      <c r="BY111" s="9">
        <f t="shared" si="20"/>
        <v>1</v>
      </c>
      <c r="BZ111" s="9">
        <f t="shared" si="21"/>
        <v>3</v>
      </c>
      <c r="CA111" s="9">
        <f t="shared" si="22"/>
        <v>3</v>
      </c>
      <c r="CB111" s="9">
        <f t="shared" si="23"/>
        <v>4</v>
      </c>
      <c r="CC111" s="9">
        <f t="shared" si="24"/>
        <v>3.6666666666666665</v>
      </c>
      <c r="CD111" s="9">
        <f t="shared" si="25"/>
        <v>1</v>
      </c>
      <c r="CE111" s="21">
        <f t="shared" si="26"/>
        <v>2.6666666666666665</v>
      </c>
      <c r="CF111" s="21">
        <f t="shared" si="27"/>
        <v>1</v>
      </c>
      <c r="CG111" s="21">
        <f t="shared" si="28"/>
        <v>3.4166666666666665</v>
      </c>
      <c r="CH111" s="21">
        <f t="shared" si="29"/>
        <v>3</v>
      </c>
      <c r="CI111" s="21">
        <f t="shared" si="30"/>
        <v>3.6666666666666665</v>
      </c>
      <c r="CJ111" s="21">
        <f t="shared" si="31"/>
        <v>2.7499999999999996</v>
      </c>
    </row>
    <row r="112" spans="1:88">
      <c r="A112" s="9">
        <v>111</v>
      </c>
      <c r="B112" s="9" t="s">
        <v>151</v>
      </c>
      <c r="C112" s="9" t="s">
        <v>85</v>
      </c>
      <c r="D112" s="9" t="s">
        <v>72</v>
      </c>
      <c r="E112" s="9" t="s">
        <v>78</v>
      </c>
      <c r="F112" s="9" t="s">
        <v>78</v>
      </c>
      <c r="G112" s="9">
        <v>2011</v>
      </c>
      <c r="H112" s="9" t="s">
        <v>65</v>
      </c>
      <c r="I112" s="9" t="s">
        <v>87</v>
      </c>
      <c r="J112" s="9" t="s">
        <v>65</v>
      </c>
      <c r="K112" s="9" t="s">
        <v>323</v>
      </c>
      <c r="N112" s="9" t="s">
        <v>70</v>
      </c>
      <c r="O112" s="9" t="s">
        <v>70</v>
      </c>
      <c r="P112" s="10">
        <v>3</v>
      </c>
      <c r="Q112" s="10">
        <v>3</v>
      </c>
      <c r="R112" s="10">
        <v>3</v>
      </c>
      <c r="S112" s="10">
        <v>3</v>
      </c>
      <c r="T112" s="10">
        <v>3</v>
      </c>
      <c r="U112" s="10">
        <v>3</v>
      </c>
      <c r="V112" s="10">
        <v>3</v>
      </c>
      <c r="W112" s="11">
        <v>3</v>
      </c>
      <c r="X112" s="11">
        <v>4</v>
      </c>
      <c r="Y112" s="11">
        <v>3</v>
      </c>
      <c r="Z112" s="11">
        <v>3.5</v>
      </c>
      <c r="AA112" s="11">
        <v>3</v>
      </c>
      <c r="AB112" s="11">
        <v>3</v>
      </c>
      <c r="AC112" s="11">
        <v>3.25</v>
      </c>
      <c r="AD112" s="10"/>
      <c r="AE112" s="10"/>
      <c r="AF112" s="10"/>
      <c r="AG112" s="10"/>
      <c r="AH112" s="10"/>
      <c r="AI112" s="10"/>
      <c r="AJ112" s="10">
        <v>3</v>
      </c>
      <c r="AK112" s="10">
        <v>3</v>
      </c>
      <c r="AL112" s="10">
        <v>3</v>
      </c>
      <c r="AM112" s="10">
        <v>3</v>
      </c>
      <c r="AN112" s="10">
        <v>3</v>
      </c>
      <c r="AO112" s="10">
        <v>4</v>
      </c>
      <c r="AP112" s="10">
        <v>3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X112" s="9">
        <f t="shared" si="19"/>
        <v>3</v>
      </c>
      <c r="BY112" s="9">
        <f t="shared" si="20"/>
        <v>3</v>
      </c>
      <c r="BZ112" s="9">
        <f t="shared" si="21"/>
        <v>3</v>
      </c>
      <c r="CA112" s="9">
        <f t="shared" si="22"/>
        <v>3</v>
      </c>
      <c r="CB112" s="9">
        <f t="shared" si="23"/>
        <v>4</v>
      </c>
      <c r="CC112" s="9">
        <f t="shared" si="24"/>
        <v>3</v>
      </c>
      <c r="CD112" s="9">
        <f t="shared" si="25"/>
        <v>3</v>
      </c>
      <c r="CE112" s="21">
        <f t="shared" si="26"/>
        <v>3.25</v>
      </c>
      <c r="CF112" s="21">
        <f t="shared" si="27"/>
        <v>3</v>
      </c>
      <c r="CG112" s="21">
        <f t="shared" si="28"/>
        <v>3</v>
      </c>
      <c r="CH112" s="21">
        <f t="shared" si="29"/>
        <v>3</v>
      </c>
      <c r="CI112" s="21">
        <f t="shared" si="30"/>
        <v>3</v>
      </c>
      <c r="CJ112" s="21">
        <f t="shared" si="31"/>
        <v>3.05</v>
      </c>
    </row>
    <row r="113" spans="1:88">
      <c r="A113" s="9">
        <v>112</v>
      </c>
      <c r="B113" s="9" t="s">
        <v>151</v>
      </c>
      <c r="C113" s="9" t="s">
        <v>85</v>
      </c>
      <c r="D113" s="9" t="s">
        <v>72</v>
      </c>
      <c r="E113" s="9" t="s">
        <v>78</v>
      </c>
      <c r="F113" s="9" t="s">
        <v>78</v>
      </c>
      <c r="G113" s="9">
        <v>2015</v>
      </c>
      <c r="H113" s="9" t="s">
        <v>65</v>
      </c>
      <c r="I113" s="9" t="s">
        <v>87</v>
      </c>
      <c r="J113" s="9" t="s">
        <v>65</v>
      </c>
      <c r="K113" s="9" t="s">
        <v>323</v>
      </c>
      <c r="N113" s="9" t="s">
        <v>70</v>
      </c>
      <c r="O113" s="9" t="s">
        <v>70</v>
      </c>
      <c r="P113" s="10">
        <v>4</v>
      </c>
      <c r="Q113" s="10">
        <v>4</v>
      </c>
      <c r="R113" s="10">
        <v>1</v>
      </c>
      <c r="S113" s="10">
        <v>3.5</v>
      </c>
      <c r="T113" s="10">
        <v>3.5</v>
      </c>
      <c r="U113" s="10">
        <v>2</v>
      </c>
      <c r="V113" s="10">
        <v>3</v>
      </c>
      <c r="W113" s="11">
        <v>3</v>
      </c>
      <c r="X113" s="11">
        <v>4</v>
      </c>
      <c r="Y113" s="11">
        <v>3</v>
      </c>
      <c r="Z113" s="11">
        <v>3.5</v>
      </c>
      <c r="AA113" s="11">
        <v>3</v>
      </c>
      <c r="AB113" s="11">
        <v>3</v>
      </c>
      <c r="AC113" s="11">
        <v>3.25</v>
      </c>
      <c r="AD113" s="10"/>
      <c r="AE113" s="10"/>
      <c r="AF113" s="10"/>
      <c r="AG113" s="10"/>
      <c r="AH113" s="10"/>
      <c r="AI113" s="10"/>
      <c r="AJ113" s="10">
        <v>2</v>
      </c>
      <c r="AK113" s="10">
        <v>1</v>
      </c>
      <c r="AL113" s="10">
        <v>2</v>
      </c>
      <c r="AM113" s="10">
        <v>3</v>
      </c>
      <c r="AN113" s="10">
        <v>2</v>
      </c>
      <c r="AO113" s="10">
        <v>4</v>
      </c>
      <c r="AP113" s="10">
        <v>4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X113" s="9">
        <f t="shared" si="19"/>
        <v>3</v>
      </c>
      <c r="BY113" s="9">
        <f t="shared" si="20"/>
        <v>2</v>
      </c>
      <c r="BZ113" s="9">
        <f t="shared" si="21"/>
        <v>1</v>
      </c>
      <c r="CA113" s="9">
        <f t="shared" si="22"/>
        <v>1</v>
      </c>
      <c r="CB113" s="9">
        <f t="shared" si="23"/>
        <v>4</v>
      </c>
      <c r="CC113" s="9">
        <f t="shared" si="24"/>
        <v>4</v>
      </c>
      <c r="CD113" s="9">
        <f t="shared" si="25"/>
        <v>1</v>
      </c>
      <c r="CE113" s="21">
        <f t="shared" si="26"/>
        <v>3.25</v>
      </c>
      <c r="CF113" s="21">
        <f t="shared" si="27"/>
        <v>2</v>
      </c>
      <c r="CG113" s="21">
        <f t="shared" si="28"/>
        <v>3</v>
      </c>
      <c r="CH113" s="21">
        <f t="shared" si="29"/>
        <v>2</v>
      </c>
      <c r="CI113" s="21">
        <f t="shared" si="30"/>
        <v>4</v>
      </c>
      <c r="CJ113" s="21">
        <f t="shared" si="31"/>
        <v>2.85</v>
      </c>
    </row>
    <row r="114" spans="1:88">
      <c r="A114" s="9">
        <v>113</v>
      </c>
      <c r="B114" s="9" t="s">
        <v>151</v>
      </c>
      <c r="C114" s="9" t="s">
        <v>98</v>
      </c>
      <c r="D114" s="9" t="s">
        <v>128</v>
      </c>
      <c r="E114" s="9" t="s">
        <v>63</v>
      </c>
      <c r="F114" s="9" t="s">
        <v>78</v>
      </c>
      <c r="G114" s="9">
        <v>2021</v>
      </c>
      <c r="H114" s="9" t="s">
        <v>65</v>
      </c>
      <c r="I114" s="9" t="s">
        <v>87</v>
      </c>
      <c r="J114" s="9" t="s">
        <v>65</v>
      </c>
      <c r="K114" s="9" t="s">
        <v>323</v>
      </c>
      <c r="N114" s="9" t="s">
        <v>70</v>
      </c>
      <c r="O114" s="9" t="s">
        <v>70</v>
      </c>
      <c r="P114" s="10">
        <v>3</v>
      </c>
      <c r="Q114" s="10">
        <v>3</v>
      </c>
      <c r="R114" s="10">
        <v>3</v>
      </c>
      <c r="S114" s="10">
        <v>3</v>
      </c>
      <c r="T114" s="10">
        <v>3</v>
      </c>
      <c r="U114" s="10">
        <v>3</v>
      </c>
      <c r="V114" s="10">
        <v>3</v>
      </c>
      <c r="W114" s="11">
        <v>3.5</v>
      </c>
      <c r="X114" s="11">
        <v>3</v>
      </c>
      <c r="Y114" s="11">
        <v>3</v>
      </c>
      <c r="Z114" s="11">
        <v>4</v>
      </c>
      <c r="AA114" s="11">
        <v>4</v>
      </c>
      <c r="AB114" s="11">
        <v>4</v>
      </c>
      <c r="AC114" s="11">
        <v>3.5833333333333335</v>
      </c>
      <c r="AD114" s="10"/>
      <c r="AE114" s="10"/>
      <c r="AF114" s="10"/>
      <c r="AG114" s="10"/>
      <c r="AH114" s="10"/>
      <c r="AI114" s="10"/>
      <c r="AJ114" s="10">
        <v>4</v>
      </c>
      <c r="AK114" s="10">
        <v>3</v>
      </c>
      <c r="AL114" s="10">
        <v>3</v>
      </c>
      <c r="AM114" s="10">
        <v>4</v>
      </c>
      <c r="AN114" s="10">
        <v>3.3333333333333335</v>
      </c>
      <c r="AO114" s="10">
        <v>3</v>
      </c>
      <c r="AP114" s="10">
        <v>5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X114" s="9">
        <f t="shared" si="19"/>
        <v>3</v>
      </c>
      <c r="BY114" s="9">
        <f t="shared" si="20"/>
        <v>4</v>
      </c>
      <c r="BZ114" s="9">
        <f t="shared" si="21"/>
        <v>3</v>
      </c>
      <c r="CA114" s="9">
        <f t="shared" si="22"/>
        <v>3</v>
      </c>
      <c r="CB114" s="9">
        <f t="shared" si="23"/>
        <v>3</v>
      </c>
      <c r="CC114" s="9">
        <f t="shared" si="24"/>
        <v>5</v>
      </c>
      <c r="CD114" s="9">
        <f t="shared" si="25"/>
        <v>3</v>
      </c>
      <c r="CE114" s="21">
        <f t="shared" si="26"/>
        <v>3.5833333333333335</v>
      </c>
      <c r="CF114" s="21">
        <f t="shared" si="27"/>
        <v>4</v>
      </c>
      <c r="CG114" s="21">
        <f t="shared" si="28"/>
        <v>3</v>
      </c>
      <c r="CH114" s="21">
        <f t="shared" si="29"/>
        <v>3.3333333333333335</v>
      </c>
      <c r="CI114" s="21">
        <f t="shared" si="30"/>
        <v>5</v>
      </c>
      <c r="CJ114" s="21">
        <f t="shared" si="31"/>
        <v>3.7833333333333337</v>
      </c>
    </row>
    <row r="115" spans="1:88">
      <c r="A115" s="9">
        <v>114</v>
      </c>
      <c r="B115" s="9" t="s">
        <v>151</v>
      </c>
      <c r="C115" s="9" t="s">
        <v>85</v>
      </c>
      <c r="D115" s="9" t="s">
        <v>72</v>
      </c>
      <c r="E115" s="9" t="s">
        <v>78</v>
      </c>
      <c r="F115" s="9" t="s">
        <v>78</v>
      </c>
      <c r="G115" s="9">
        <v>2022</v>
      </c>
      <c r="H115" s="9" t="s">
        <v>65</v>
      </c>
      <c r="I115" s="9" t="s">
        <v>87</v>
      </c>
      <c r="J115" s="9" t="s">
        <v>65</v>
      </c>
      <c r="K115" s="9" t="s">
        <v>323</v>
      </c>
      <c r="N115" s="9" t="s">
        <v>70</v>
      </c>
      <c r="O115" s="9" t="s">
        <v>70</v>
      </c>
      <c r="P115" s="10">
        <v>4</v>
      </c>
      <c r="Q115" s="10">
        <v>4</v>
      </c>
      <c r="R115" s="10">
        <v>4</v>
      </c>
      <c r="S115" s="10">
        <v>3</v>
      </c>
      <c r="T115" s="10">
        <v>3.5</v>
      </c>
      <c r="U115" s="10">
        <v>4</v>
      </c>
      <c r="V115" s="10">
        <v>3.75</v>
      </c>
      <c r="W115" s="11">
        <v>5</v>
      </c>
      <c r="X115" s="11">
        <v>5</v>
      </c>
      <c r="Y115" s="11">
        <v>4</v>
      </c>
      <c r="Z115" s="11">
        <v>5</v>
      </c>
      <c r="AA115" s="11">
        <v>5</v>
      </c>
      <c r="AB115" s="11">
        <v>5</v>
      </c>
      <c r="AC115" s="11">
        <v>4.833333333333333</v>
      </c>
      <c r="AD115" s="10"/>
      <c r="AE115" s="10"/>
      <c r="AF115" s="10"/>
      <c r="AG115" s="10"/>
      <c r="AH115" s="10"/>
      <c r="AI115" s="10"/>
      <c r="AJ115" s="10">
        <v>5</v>
      </c>
      <c r="AK115" s="10">
        <v>4</v>
      </c>
      <c r="AL115" s="10">
        <v>4</v>
      </c>
      <c r="AM115" s="10">
        <v>4</v>
      </c>
      <c r="AN115" s="10">
        <v>4</v>
      </c>
      <c r="AO115" s="10">
        <v>4</v>
      </c>
      <c r="AP115" s="10">
        <v>3.6666666666666665</v>
      </c>
      <c r="AQ115" s="12">
        <v>3</v>
      </c>
      <c r="AR115" s="12">
        <v>3</v>
      </c>
      <c r="AS115" s="12">
        <v>3</v>
      </c>
      <c r="AT115" s="12">
        <v>3</v>
      </c>
      <c r="AU115" s="12">
        <v>3</v>
      </c>
      <c r="AV115" s="12">
        <v>3</v>
      </c>
      <c r="AW115" s="12">
        <v>2</v>
      </c>
      <c r="AX115" s="12">
        <v>2</v>
      </c>
      <c r="AY115" s="12">
        <v>3</v>
      </c>
      <c r="AZ115" s="12">
        <v>3</v>
      </c>
      <c r="BA115" s="12">
        <v>3</v>
      </c>
      <c r="BB115" s="13">
        <v>51</v>
      </c>
      <c r="BC115" s="13">
        <v>638</v>
      </c>
      <c r="BD115" s="13">
        <v>128</v>
      </c>
      <c r="BE115" s="13">
        <v>0.25</v>
      </c>
      <c r="BF115" s="13" t="s">
        <v>217</v>
      </c>
      <c r="BG115" s="13" t="s">
        <v>324</v>
      </c>
      <c r="BI115" s="13" t="s">
        <v>325</v>
      </c>
      <c r="BX115" s="9">
        <f t="shared" si="19"/>
        <v>4</v>
      </c>
      <c r="BY115" s="9">
        <f t="shared" si="20"/>
        <v>5</v>
      </c>
      <c r="BZ115" s="9">
        <f t="shared" si="21"/>
        <v>3</v>
      </c>
      <c r="CA115" s="9">
        <f t="shared" si="22"/>
        <v>4</v>
      </c>
      <c r="CB115" s="9">
        <f t="shared" si="23"/>
        <v>4</v>
      </c>
      <c r="CC115" s="9">
        <f t="shared" si="24"/>
        <v>3.6666666666666665</v>
      </c>
      <c r="CD115" s="9">
        <f t="shared" si="25"/>
        <v>3</v>
      </c>
      <c r="CE115" s="21">
        <f t="shared" si="26"/>
        <v>4.833333333333333</v>
      </c>
      <c r="CF115" s="21">
        <f t="shared" si="27"/>
        <v>5</v>
      </c>
      <c r="CG115" s="21">
        <f t="shared" si="28"/>
        <v>3.75</v>
      </c>
      <c r="CH115" s="21">
        <f t="shared" si="29"/>
        <v>4</v>
      </c>
      <c r="CI115" s="21">
        <f t="shared" si="30"/>
        <v>3.6666666666666665</v>
      </c>
      <c r="CJ115" s="21">
        <f t="shared" si="31"/>
        <v>4.25</v>
      </c>
    </row>
    <row r="116" spans="1:88">
      <c r="A116" s="9">
        <v>115</v>
      </c>
      <c r="B116" s="9" t="s">
        <v>151</v>
      </c>
      <c r="C116" s="9" t="s">
        <v>134</v>
      </c>
      <c r="D116" s="9" t="s">
        <v>75</v>
      </c>
      <c r="E116" s="9" t="s">
        <v>63</v>
      </c>
      <c r="F116" s="9" t="s">
        <v>64</v>
      </c>
      <c r="G116" s="9">
        <v>2011</v>
      </c>
      <c r="H116" s="9" t="s">
        <v>65</v>
      </c>
      <c r="I116" s="9" t="s">
        <v>87</v>
      </c>
      <c r="K116" s="9" t="s">
        <v>322</v>
      </c>
      <c r="N116" s="9" t="s">
        <v>70</v>
      </c>
      <c r="O116" s="9" t="s">
        <v>70</v>
      </c>
      <c r="P116" s="10">
        <v>4</v>
      </c>
      <c r="Q116" s="10">
        <v>4</v>
      </c>
      <c r="R116" s="10">
        <v>3</v>
      </c>
      <c r="S116" s="10">
        <v>3</v>
      </c>
      <c r="T116" s="10">
        <v>4</v>
      </c>
      <c r="U116" s="10">
        <v>3</v>
      </c>
      <c r="V116" s="10">
        <v>3.5</v>
      </c>
      <c r="W116" s="11">
        <v>3.5</v>
      </c>
      <c r="X116" s="11">
        <v>4</v>
      </c>
      <c r="Y116" s="11">
        <v>3</v>
      </c>
      <c r="Z116" s="11">
        <v>4</v>
      </c>
      <c r="AA116" s="11">
        <v>4</v>
      </c>
      <c r="AB116" s="11">
        <v>4</v>
      </c>
      <c r="AC116" s="11">
        <v>3.75</v>
      </c>
      <c r="AD116" s="10"/>
      <c r="AE116" s="10"/>
      <c r="AF116" s="10"/>
      <c r="AG116" s="10"/>
      <c r="AH116" s="10"/>
      <c r="AI116" s="10"/>
      <c r="AJ116" s="10">
        <v>5</v>
      </c>
      <c r="AK116" s="10">
        <v>4</v>
      </c>
      <c r="AL116" s="10">
        <v>4</v>
      </c>
      <c r="AM116" s="10">
        <v>4</v>
      </c>
      <c r="AN116" s="10">
        <v>4</v>
      </c>
      <c r="AO116" s="10">
        <v>3</v>
      </c>
      <c r="AP116" s="10">
        <v>3.6666666666666665</v>
      </c>
      <c r="AQ116" s="12">
        <v>2</v>
      </c>
      <c r="AR116" s="12">
        <v>2</v>
      </c>
      <c r="AS116" s="12">
        <v>3</v>
      </c>
      <c r="AT116" s="12">
        <v>3</v>
      </c>
      <c r="AU116" s="12">
        <v>2.5</v>
      </c>
      <c r="AV116" s="12">
        <v>2.5</v>
      </c>
      <c r="AW116" s="12">
        <v>1</v>
      </c>
      <c r="AX116" s="12">
        <v>2</v>
      </c>
      <c r="AY116" s="12">
        <v>3</v>
      </c>
      <c r="AZ116" s="12">
        <v>2</v>
      </c>
      <c r="BA116" s="12">
        <v>3</v>
      </c>
      <c r="BB116" s="13">
        <v>39</v>
      </c>
      <c r="BC116" s="13">
        <v>465</v>
      </c>
      <c r="BD116" s="13">
        <v>156</v>
      </c>
      <c r="BE116" s="13">
        <v>0.5</v>
      </c>
      <c r="BF116" s="13" t="s">
        <v>209</v>
      </c>
      <c r="BG116" s="13" t="s">
        <v>326</v>
      </c>
      <c r="BH116" s="13" t="s">
        <v>330</v>
      </c>
      <c r="BI116" s="13" t="s">
        <v>325</v>
      </c>
      <c r="BX116" s="9">
        <f t="shared" si="19"/>
        <v>3</v>
      </c>
      <c r="BY116" s="9">
        <f t="shared" si="20"/>
        <v>5</v>
      </c>
      <c r="BZ116" s="9">
        <f t="shared" si="21"/>
        <v>3</v>
      </c>
      <c r="CA116" s="9">
        <f t="shared" si="22"/>
        <v>4</v>
      </c>
      <c r="CB116" s="9">
        <f t="shared" si="23"/>
        <v>3</v>
      </c>
      <c r="CC116" s="9">
        <f t="shared" si="24"/>
        <v>3.6666666666666665</v>
      </c>
      <c r="CD116" s="9">
        <f t="shared" si="25"/>
        <v>3</v>
      </c>
      <c r="CE116" s="21">
        <f t="shared" si="26"/>
        <v>3.75</v>
      </c>
      <c r="CF116" s="21">
        <f t="shared" si="27"/>
        <v>5</v>
      </c>
      <c r="CG116" s="21">
        <f t="shared" si="28"/>
        <v>3.5</v>
      </c>
      <c r="CH116" s="21">
        <f t="shared" si="29"/>
        <v>4</v>
      </c>
      <c r="CI116" s="21">
        <f t="shared" si="30"/>
        <v>3.6666666666666665</v>
      </c>
      <c r="CJ116" s="21">
        <f t="shared" si="31"/>
        <v>3.9833333333333334</v>
      </c>
    </row>
    <row r="117" spans="1:88">
      <c r="A117" s="9">
        <v>116</v>
      </c>
      <c r="B117" s="9" t="s">
        <v>151</v>
      </c>
      <c r="C117" s="9" t="s">
        <v>98</v>
      </c>
      <c r="D117" s="9" t="s">
        <v>96</v>
      </c>
      <c r="E117" s="9" t="s">
        <v>74</v>
      </c>
      <c r="F117" s="9" t="s">
        <v>64</v>
      </c>
      <c r="G117" s="9">
        <v>2014</v>
      </c>
      <c r="H117" s="9" t="s">
        <v>65</v>
      </c>
      <c r="I117" s="9" t="s">
        <v>87</v>
      </c>
      <c r="J117" s="9" t="s">
        <v>65</v>
      </c>
      <c r="K117" s="9" t="s">
        <v>323</v>
      </c>
      <c r="N117" s="9" t="s">
        <v>70</v>
      </c>
      <c r="O117" s="9" t="s">
        <v>70</v>
      </c>
      <c r="P117" s="10">
        <v>4.5</v>
      </c>
      <c r="Q117" s="10">
        <v>4</v>
      </c>
      <c r="R117" s="10">
        <v>3</v>
      </c>
      <c r="S117" s="10">
        <v>4</v>
      </c>
      <c r="T117" s="10">
        <v>3</v>
      </c>
      <c r="U117" s="10">
        <v>3</v>
      </c>
      <c r="V117" s="10">
        <v>3.5833333333333335</v>
      </c>
      <c r="W117" s="11">
        <v>3</v>
      </c>
      <c r="X117" s="11">
        <v>1</v>
      </c>
      <c r="Y117" s="11">
        <v>1</v>
      </c>
      <c r="Z117" s="11">
        <v>3.5</v>
      </c>
      <c r="AA117" s="11">
        <v>1</v>
      </c>
      <c r="AB117" s="11">
        <v>3</v>
      </c>
      <c r="AC117" s="11">
        <v>2.8333333333333002</v>
      </c>
      <c r="AD117" s="10"/>
      <c r="AE117" s="10"/>
      <c r="AF117" s="10"/>
      <c r="AG117" s="10"/>
      <c r="AH117" s="10"/>
      <c r="AI117" s="10"/>
      <c r="AJ117" s="10">
        <v>5</v>
      </c>
      <c r="AK117" s="10">
        <v>3</v>
      </c>
      <c r="AL117" s="10">
        <v>3</v>
      </c>
      <c r="AM117" s="10">
        <v>4</v>
      </c>
      <c r="AN117" s="10">
        <v>3.3333333333333335</v>
      </c>
      <c r="AO117" s="10">
        <v>3</v>
      </c>
      <c r="AP117" s="10">
        <v>4.666666666666667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X117" s="9">
        <f t="shared" si="19"/>
        <v>1</v>
      </c>
      <c r="BY117" s="9">
        <f t="shared" si="20"/>
        <v>5</v>
      </c>
      <c r="BZ117" s="9">
        <f t="shared" si="21"/>
        <v>3</v>
      </c>
      <c r="CA117" s="9">
        <f t="shared" si="22"/>
        <v>3</v>
      </c>
      <c r="CB117" s="9">
        <f t="shared" si="23"/>
        <v>3</v>
      </c>
      <c r="CC117" s="9">
        <f t="shared" si="24"/>
        <v>4.666666666666667</v>
      </c>
      <c r="CD117" s="9">
        <f t="shared" si="25"/>
        <v>1</v>
      </c>
      <c r="CE117" s="21">
        <f t="shared" si="26"/>
        <v>2.8333333333333002</v>
      </c>
      <c r="CF117" s="21">
        <f t="shared" si="27"/>
        <v>5</v>
      </c>
      <c r="CG117" s="21">
        <f t="shared" si="28"/>
        <v>3.5833333333333335</v>
      </c>
      <c r="CH117" s="21">
        <f t="shared" si="29"/>
        <v>3.3333333333333335</v>
      </c>
      <c r="CI117" s="21">
        <f t="shared" si="30"/>
        <v>4.666666666666667</v>
      </c>
      <c r="CJ117" s="21">
        <f t="shared" si="31"/>
        <v>3.8833333333333271</v>
      </c>
    </row>
    <row r="118" spans="1:88">
      <c r="A118" s="9">
        <v>117</v>
      </c>
      <c r="B118" s="9" t="s">
        <v>151</v>
      </c>
      <c r="C118" s="9" t="s">
        <v>85</v>
      </c>
      <c r="D118" s="9" t="s">
        <v>152</v>
      </c>
      <c r="E118" s="9" t="s">
        <v>78</v>
      </c>
      <c r="F118" s="9" t="s">
        <v>78</v>
      </c>
      <c r="G118" s="9">
        <v>2018</v>
      </c>
      <c r="H118" s="9" t="s">
        <v>65</v>
      </c>
      <c r="I118" s="9" t="s">
        <v>87</v>
      </c>
      <c r="J118" s="9" t="s">
        <v>65</v>
      </c>
      <c r="K118" s="9" t="s">
        <v>323</v>
      </c>
      <c r="N118" s="9" t="s">
        <v>70</v>
      </c>
      <c r="O118" s="9" t="s">
        <v>70</v>
      </c>
      <c r="P118" s="10">
        <v>4</v>
      </c>
      <c r="Q118" s="10">
        <v>4</v>
      </c>
      <c r="R118" s="10">
        <v>3</v>
      </c>
      <c r="S118" s="10">
        <v>3</v>
      </c>
      <c r="T118" s="10">
        <v>4</v>
      </c>
      <c r="U118" s="10">
        <v>4</v>
      </c>
      <c r="V118" s="10">
        <v>3.6666666666666665</v>
      </c>
      <c r="W118" s="11">
        <v>5</v>
      </c>
      <c r="X118" s="11">
        <v>5</v>
      </c>
      <c r="Y118" s="11">
        <v>4</v>
      </c>
      <c r="Z118" s="11">
        <v>5</v>
      </c>
      <c r="AA118" s="11">
        <v>5</v>
      </c>
      <c r="AB118" s="11">
        <v>5</v>
      </c>
      <c r="AC118" s="11">
        <v>4.833333333333333</v>
      </c>
      <c r="AD118" s="10"/>
      <c r="AE118" s="10"/>
      <c r="AF118" s="10"/>
      <c r="AG118" s="10"/>
      <c r="AH118" s="10"/>
      <c r="AI118" s="10"/>
      <c r="AJ118" s="10">
        <v>5</v>
      </c>
      <c r="AK118" s="10">
        <v>4</v>
      </c>
      <c r="AL118" s="10">
        <v>5</v>
      </c>
      <c r="AM118" s="10">
        <v>5</v>
      </c>
      <c r="AN118" s="10">
        <v>4.666666666666667</v>
      </c>
      <c r="AO118" s="10">
        <v>4</v>
      </c>
      <c r="AP118" s="10">
        <v>5</v>
      </c>
      <c r="AQ118" s="12">
        <v>3</v>
      </c>
      <c r="AR118" s="12">
        <v>3</v>
      </c>
      <c r="AS118" s="12">
        <v>3</v>
      </c>
      <c r="AT118" s="12">
        <v>3</v>
      </c>
      <c r="AU118" s="12">
        <v>2.5</v>
      </c>
      <c r="AV118" s="12">
        <v>2.9</v>
      </c>
      <c r="AW118" s="12">
        <v>3</v>
      </c>
      <c r="AX118" s="12">
        <v>3</v>
      </c>
      <c r="AY118" s="12">
        <v>3</v>
      </c>
      <c r="AZ118" s="12">
        <v>3</v>
      </c>
      <c r="BA118" s="12">
        <v>3</v>
      </c>
      <c r="BB118" s="13">
        <v>61</v>
      </c>
      <c r="BC118" s="13">
        <v>724</v>
      </c>
      <c r="BD118" s="13">
        <v>123</v>
      </c>
      <c r="BE118" s="13">
        <v>0.2</v>
      </c>
      <c r="BF118" s="13" t="s">
        <v>217</v>
      </c>
      <c r="BG118" s="13" t="s">
        <v>324</v>
      </c>
      <c r="BH118" s="13" t="s">
        <v>330</v>
      </c>
      <c r="BI118" s="13" t="s">
        <v>325</v>
      </c>
      <c r="BX118" s="9">
        <f t="shared" si="19"/>
        <v>4</v>
      </c>
      <c r="BY118" s="9">
        <f t="shared" si="20"/>
        <v>5</v>
      </c>
      <c r="BZ118" s="9">
        <f t="shared" si="21"/>
        <v>3</v>
      </c>
      <c r="CA118" s="9">
        <f t="shared" si="22"/>
        <v>4</v>
      </c>
      <c r="CB118" s="9">
        <f t="shared" si="23"/>
        <v>4</v>
      </c>
      <c r="CC118" s="9">
        <f t="shared" si="24"/>
        <v>5</v>
      </c>
      <c r="CD118" s="9">
        <f t="shared" si="25"/>
        <v>3</v>
      </c>
      <c r="CE118" s="21">
        <f t="shared" si="26"/>
        <v>4.833333333333333</v>
      </c>
      <c r="CF118" s="21">
        <f t="shared" si="27"/>
        <v>5</v>
      </c>
      <c r="CG118" s="21">
        <f t="shared" si="28"/>
        <v>3.6666666666666665</v>
      </c>
      <c r="CH118" s="21">
        <f t="shared" si="29"/>
        <v>4.666666666666667</v>
      </c>
      <c r="CI118" s="21">
        <f t="shared" si="30"/>
        <v>5</v>
      </c>
      <c r="CJ118" s="21">
        <f t="shared" si="31"/>
        <v>4.6333333333333329</v>
      </c>
    </row>
    <row r="119" spans="1:88">
      <c r="A119" s="9">
        <v>118</v>
      </c>
      <c r="B119" s="9" t="s">
        <v>151</v>
      </c>
      <c r="C119" s="9" t="s">
        <v>98</v>
      </c>
      <c r="D119" s="9" t="s">
        <v>132</v>
      </c>
      <c r="E119" s="9" t="s">
        <v>105</v>
      </c>
      <c r="F119" s="9" t="s">
        <v>64</v>
      </c>
      <c r="G119" s="9">
        <v>2009</v>
      </c>
      <c r="H119" s="9" t="s">
        <v>65</v>
      </c>
      <c r="I119" s="9" t="s">
        <v>87</v>
      </c>
      <c r="J119" s="9" t="s">
        <v>65</v>
      </c>
      <c r="K119" s="9" t="s">
        <v>323</v>
      </c>
      <c r="N119" s="9" t="s">
        <v>70</v>
      </c>
      <c r="O119" s="9" t="s">
        <v>70</v>
      </c>
      <c r="P119" s="10">
        <v>4</v>
      </c>
      <c r="Q119" s="10">
        <v>4</v>
      </c>
      <c r="R119" s="10">
        <v>1</v>
      </c>
      <c r="S119" s="10">
        <v>4</v>
      </c>
      <c r="T119" s="10">
        <v>2.5</v>
      </c>
      <c r="U119" s="10">
        <v>4</v>
      </c>
      <c r="V119" s="10">
        <v>3.25</v>
      </c>
      <c r="W119" s="11">
        <v>2</v>
      </c>
      <c r="X119" s="11">
        <v>2</v>
      </c>
      <c r="Y119" s="11"/>
      <c r="Z119" s="11">
        <v>2</v>
      </c>
      <c r="AA119" s="11">
        <v>1.5</v>
      </c>
      <c r="AB119" s="11">
        <v>1</v>
      </c>
      <c r="AC119" s="11">
        <v>1.4166666666666667</v>
      </c>
      <c r="AD119" s="10"/>
      <c r="AE119" s="10"/>
      <c r="AF119" s="10"/>
      <c r="AG119" s="10"/>
      <c r="AH119" s="10"/>
      <c r="AI119" s="10"/>
      <c r="AJ119" s="10">
        <v>2</v>
      </c>
      <c r="AK119" s="10">
        <v>3</v>
      </c>
      <c r="AL119" s="10">
        <v>1</v>
      </c>
      <c r="AM119" s="10">
        <v>1</v>
      </c>
      <c r="AN119" s="10">
        <v>1.6666666666666667</v>
      </c>
      <c r="AO119" s="10">
        <v>4</v>
      </c>
      <c r="AP119" s="10">
        <v>4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X119" s="9">
        <f t="shared" si="19"/>
        <v>1</v>
      </c>
      <c r="BY119" s="9">
        <f t="shared" si="20"/>
        <v>2</v>
      </c>
      <c r="BZ119" s="9">
        <f t="shared" si="21"/>
        <v>1</v>
      </c>
      <c r="CA119" s="9">
        <f t="shared" si="22"/>
        <v>1</v>
      </c>
      <c r="CB119" s="9">
        <f t="shared" si="23"/>
        <v>4</v>
      </c>
      <c r="CC119" s="9">
        <f t="shared" si="24"/>
        <v>4</v>
      </c>
      <c r="CD119" s="9">
        <f t="shared" si="25"/>
        <v>1</v>
      </c>
      <c r="CE119" s="21">
        <f t="shared" si="26"/>
        <v>1.4166666666666667</v>
      </c>
      <c r="CF119" s="21">
        <f t="shared" si="27"/>
        <v>2</v>
      </c>
      <c r="CG119" s="21">
        <f t="shared" si="28"/>
        <v>3.25</v>
      </c>
      <c r="CH119" s="21">
        <f t="shared" si="29"/>
        <v>1.6666666666666667</v>
      </c>
      <c r="CI119" s="21">
        <f t="shared" si="30"/>
        <v>4</v>
      </c>
      <c r="CJ119" s="21">
        <f t="shared" si="31"/>
        <v>2.4666666666666668</v>
      </c>
    </row>
    <row r="120" spans="1:88">
      <c r="A120" s="9">
        <v>119</v>
      </c>
      <c r="B120" s="9" t="s">
        <v>151</v>
      </c>
      <c r="C120" s="9" t="s">
        <v>85</v>
      </c>
      <c r="D120" s="9" t="s">
        <v>72</v>
      </c>
      <c r="E120" s="9" t="s">
        <v>74</v>
      </c>
      <c r="F120" s="9" t="s">
        <v>64</v>
      </c>
      <c r="G120" s="9">
        <v>2016</v>
      </c>
      <c r="H120" s="9" t="s">
        <v>65</v>
      </c>
      <c r="I120" s="9" t="s">
        <v>87</v>
      </c>
      <c r="J120" s="9" t="s">
        <v>65</v>
      </c>
      <c r="K120" s="9" t="s">
        <v>323</v>
      </c>
      <c r="N120" s="9" t="s">
        <v>70</v>
      </c>
      <c r="O120" s="9" t="s">
        <v>70</v>
      </c>
      <c r="P120" s="10">
        <v>4</v>
      </c>
      <c r="Q120" s="10">
        <v>4</v>
      </c>
      <c r="R120" s="10">
        <v>3</v>
      </c>
      <c r="S120" s="10">
        <v>4</v>
      </c>
      <c r="T120" s="10">
        <v>3</v>
      </c>
      <c r="U120" s="10">
        <v>3</v>
      </c>
      <c r="V120" s="10">
        <v>3.5</v>
      </c>
      <c r="W120" s="11">
        <v>3</v>
      </c>
      <c r="X120" s="11">
        <v>4</v>
      </c>
      <c r="Y120" s="11">
        <v>4</v>
      </c>
      <c r="Z120" s="11">
        <v>3.5</v>
      </c>
      <c r="AA120" s="11">
        <v>4</v>
      </c>
      <c r="AB120" s="11">
        <v>3</v>
      </c>
      <c r="AC120" s="11">
        <v>3.5833333333333335</v>
      </c>
      <c r="AD120" s="10"/>
      <c r="AE120" s="10"/>
      <c r="AF120" s="10"/>
      <c r="AG120" s="10"/>
      <c r="AH120" s="10"/>
      <c r="AI120" s="10"/>
      <c r="AJ120" s="10">
        <v>4</v>
      </c>
      <c r="AK120" s="10">
        <v>1</v>
      </c>
      <c r="AL120" s="10">
        <v>4</v>
      </c>
      <c r="AM120" s="10">
        <v>4</v>
      </c>
      <c r="AN120" s="10">
        <v>3</v>
      </c>
      <c r="AO120" s="10">
        <v>4</v>
      </c>
      <c r="AP120" s="10">
        <v>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X120" s="9">
        <f t="shared" si="19"/>
        <v>3</v>
      </c>
      <c r="BY120" s="9">
        <f t="shared" si="20"/>
        <v>4</v>
      </c>
      <c r="BZ120" s="9">
        <f t="shared" si="21"/>
        <v>3</v>
      </c>
      <c r="CA120" s="9">
        <f t="shared" si="22"/>
        <v>1</v>
      </c>
      <c r="CB120" s="9">
        <f t="shared" si="23"/>
        <v>4</v>
      </c>
      <c r="CC120" s="9">
        <f t="shared" si="24"/>
        <v>4</v>
      </c>
      <c r="CD120" s="9">
        <f t="shared" si="25"/>
        <v>1</v>
      </c>
      <c r="CE120" s="21">
        <f t="shared" si="26"/>
        <v>3.5833333333333335</v>
      </c>
      <c r="CF120" s="21">
        <f t="shared" si="27"/>
        <v>4</v>
      </c>
      <c r="CG120" s="21">
        <f t="shared" si="28"/>
        <v>3.5</v>
      </c>
      <c r="CH120" s="21">
        <f t="shared" si="29"/>
        <v>3</v>
      </c>
      <c r="CI120" s="21">
        <f t="shared" si="30"/>
        <v>4</v>
      </c>
      <c r="CJ120" s="21">
        <f t="shared" si="31"/>
        <v>3.6166666666666671</v>
      </c>
    </row>
    <row r="121" spans="1:88">
      <c r="A121" s="9">
        <v>120</v>
      </c>
      <c r="B121" s="9" t="s">
        <v>151</v>
      </c>
      <c r="C121" s="9" t="s">
        <v>85</v>
      </c>
      <c r="D121" s="9" t="s">
        <v>132</v>
      </c>
      <c r="E121" s="9" t="s">
        <v>63</v>
      </c>
      <c r="F121" s="9" t="s">
        <v>64</v>
      </c>
      <c r="G121" s="9">
        <v>2016</v>
      </c>
      <c r="H121" s="9" t="s">
        <v>65</v>
      </c>
      <c r="I121" s="9" t="s">
        <v>87</v>
      </c>
      <c r="J121" s="9" t="s">
        <v>65</v>
      </c>
      <c r="K121" s="9" t="s">
        <v>323</v>
      </c>
      <c r="N121" s="9" t="s">
        <v>70</v>
      </c>
      <c r="O121" s="9" t="s">
        <v>70</v>
      </c>
      <c r="P121" s="10">
        <v>4</v>
      </c>
      <c r="Q121" s="10">
        <v>4</v>
      </c>
      <c r="R121" s="10">
        <v>4</v>
      </c>
      <c r="S121" s="10">
        <v>4</v>
      </c>
      <c r="T121" s="10">
        <v>4</v>
      </c>
      <c r="U121" s="10">
        <v>4</v>
      </c>
      <c r="V121" s="10">
        <v>4</v>
      </c>
      <c r="W121" s="11">
        <v>4</v>
      </c>
      <c r="X121" s="11">
        <v>4</v>
      </c>
      <c r="Y121" s="11">
        <v>4</v>
      </c>
      <c r="Z121" s="11">
        <v>4</v>
      </c>
      <c r="AA121" s="11">
        <v>4</v>
      </c>
      <c r="AB121" s="11">
        <v>4</v>
      </c>
      <c r="AC121" s="11">
        <v>4</v>
      </c>
      <c r="AD121" s="10"/>
      <c r="AE121" s="10"/>
      <c r="AF121" s="10"/>
      <c r="AG121" s="10"/>
      <c r="AH121" s="10"/>
      <c r="AI121" s="10"/>
      <c r="AJ121" s="10">
        <v>2</v>
      </c>
      <c r="AK121" s="10">
        <v>3</v>
      </c>
      <c r="AL121" s="10">
        <v>4</v>
      </c>
      <c r="AM121" s="10">
        <v>4</v>
      </c>
      <c r="AN121" s="10">
        <v>3.6666666666666665</v>
      </c>
      <c r="AO121" s="10">
        <v>4</v>
      </c>
      <c r="AP121" s="10">
        <v>5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X121" s="9">
        <f t="shared" si="19"/>
        <v>4</v>
      </c>
      <c r="BY121" s="9">
        <f t="shared" si="20"/>
        <v>2</v>
      </c>
      <c r="BZ121" s="9">
        <f t="shared" si="21"/>
        <v>4</v>
      </c>
      <c r="CA121" s="9">
        <f t="shared" si="22"/>
        <v>3</v>
      </c>
      <c r="CB121" s="9">
        <f t="shared" si="23"/>
        <v>4</v>
      </c>
      <c r="CC121" s="9">
        <f t="shared" si="24"/>
        <v>5</v>
      </c>
      <c r="CD121" s="9">
        <f t="shared" si="25"/>
        <v>2</v>
      </c>
      <c r="CE121" s="21">
        <f t="shared" si="26"/>
        <v>4</v>
      </c>
      <c r="CF121" s="21">
        <f t="shared" si="27"/>
        <v>2</v>
      </c>
      <c r="CG121" s="21">
        <f t="shared" si="28"/>
        <v>4</v>
      </c>
      <c r="CH121" s="21">
        <f t="shared" si="29"/>
        <v>3.6666666666666665</v>
      </c>
      <c r="CI121" s="21">
        <f t="shared" si="30"/>
        <v>5</v>
      </c>
      <c r="CJ121" s="21">
        <f t="shared" si="31"/>
        <v>3.7333333333333329</v>
      </c>
    </row>
    <row r="122" spans="1:88">
      <c r="A122" s="9">
        <v>121</v>
      </c>
      <c r="B122" s="9" t="s">
        <v>151</v>
      </c>
      <c r="C122" s="9" t="s">
        <v>98</v>
      </c>
      <c r="D122" s="9" t="s">
        <v>82</v>
      </c>
      <c r="E122" s="9" t="s">
        <v>78</v>
      </c>
      <c r="F122" s="9" t="s">
        <v>64</v>
      </c>
      <c r="G122" s="9">
        <v>2019</v>
      </c>
      <c r="H122" s="9" t="s">
        <v>65</v>
      </c>
      <c r="I122" s="9" t="s">
        <v>87</v>
      </c>
      <c r="J122" s="9" t="s">
        <v>65</v>
      </c>
      <c r="K122" s="9" t="s">
        <v>323</v>
      </c>
      <c r="N122" s="9" t="s">
        <v>70</v>
      </c>
      <c r="O122" s="9" t="s">
        <v>70</v>
      </c>
      <c r="P122" s="10">
        <v>4</v>
      </c>
      <c r="Q122" s="10">
        <v>4</v>
      </c>
      <c r="R122" s="10">
        <v>3</v>
      </c>
      <c r="S122" s="10">
        <v>4</v>
      </c>
      <c r="T122" s="10">
        <v>4</v>
      </c>
      <c r="U122" s="10">
        <v>3</v>
      </c>
      <c r="V122" s="10">
        <v>3.6666666666666665</v>
      </c>
      <c r="W122" s="11">
        <v>4</v>
      </c>
      <c r="X122" s="11">
        <v>5</v>
      </c>
      <c r="Y122" s="11">
        <v>4</v>
      </c>
      <c r="Z122" s="11">
        <v>3</v>
      </c>
      <c r="AA122" s="11">
        <v>3.5</v>
      </c>
      <c r="AB122" s="11">
        <v>4</v>
      </c>
      <c r="AC122" s="11">
        <v>3.9166666666666665</v>
      </c>
      <c r="AD122" s="10"/>
      <c r="AE122" s="10"/>
      <c r="AF122" s="10"/>
      <c r="AG122" s="10"/>
      <c r="AH122" s="10"/>
      <c r="AI122" s="10"/>
      <c r="AJ122" s="10">
        <v>4</v>
      </c>
      <c r="AK122" s="10">
        <v>4</v>
      </c>
      <c r="AL122" s="10">
        <v>4</v>
      </c>
      <c r="AM122" s="10">
        <v>4</v>
      </c>
      <c r="AN122" s="10">
        <v>4</v>
      </c>
      <c r="AO122" s="10">
        <v>4</v>
      </c>
      <c r="AP122" s="10">
        <v>5</v>
      </c>
      <c r="AQ122" s="12">
        <v>2</v>
      </c>
      <c r="AR122" s="12">
        <v>3</v>
      </c>
      <c r="AS122" s="12">
        <v>3</v>
      </c>
      <c r="AT122" s="12">
        <v>3</v>
      </c>
      <c r="AU122" s="12">
        <v>3</v>
      </c>
      <c r="AV122" s="12">
        <v>2.8</v>
      </c>
      <c r="AW122" s="12">
        <v>2</v>
      </c>
      <c r="AX122" s="12">
        <v>3</v>
      </c>
      <c r="AY122" s="12">
        <v>2</v>
      </c>
      <c r="AZ122" s="12">
        <v>3</v>
      </c>
      <c r="BA122" s="12">
        <v>3</v>
      </c>
      <c r="BB122" s="13">
        <v>586</v>
      </c>
      <c r="BC122" s="13">
        <v>832</v>
      </c>
      <c r="BD122" s="13">
        <v>246</v>
      </c>
      <c r="BE122" s="13">
        <v>0.42</v>
      </c>
      <c r="BX122" s="9">
        <f t="shared" si="19"/>
        <v>3</v>
      </c>
      <c r="BY122" s="9">
        <f t="shared" si="20"/>
        <v>4</v>
      </c>
      <c r="BZ122" s="9">
        <f t="shared" si="21"/>
        <v>3</v>
      </c>
      <c r="CA122" s="9">
        <f t="shared" si="22"/>
        <v>4</v>
      </c>
      <c r="CB122" s="9">
        <f t="shared" si="23"/>
        <v>4</v>
      </c>
      <c r="CC122" s="9">
        <f t="shared" si="24"/>
        <v>5</v>
      </c>
      <c r="CD122" s="9">
        <f t="shared" si="25"/>
        <v>3</v>
      </c>
      <c r="CE122" s="21">
        <f t="shared" si="26"/>
        <v>3.9166666666666665</v>
      </c>
      <c r="CF122" s="21">
        <f t="shared" si="27"/>
        <v>4</v>
      </c>
      <c r="CG122" s="21">
        <f t="shared" si="28"/>
        <v>3.6666666666666665</v>
      </c>
      <c r="CH122" s="21">
        <f t="shared" si="29"/>
        <v>4</v>
      </c>
      <c r="CI122" s="21">
        <f t="shared" si="30"/>
        <v>5</v>
      </c>
      <c r="CJ122" s="21">
        <f t="shared" si="31"/>
        <v>4.1166666666666663</v>
      </c>
    </row>
    <row r="123" spans="1:88">
      <c r="A123" s="9">
        <v>122</v>
      </c>
      <c r="B123" s="9" t="s">
        <v>151</v>
      </c>
      <c r="C123" s="9" t="s">
        <v>85</v>
      </c>
      <c r="D123" s="9" t="s">
        <v>96</v>
      </c>
      <c r="E123" s="9" t="s">
        <v>63</v>
      </c>
      <c r="F123" s="9" t="s">
        <v>78</v>
      </c>
      <c r="G123" s="9">
        <v>2016</v>
      </c>
      <c r="H123" s="9" t="s">
        <v>65</v>
      </c>
      <c r="I123" s="9" t="s">
        <v>87</v>
      </c>
      <c r="J123" s="9" t="s">
        <v>65</v>
      </c>
      <c r="K123" s="9" t="s">
        <v>323</v>
      </c>
      <c r="N123" s="9" t="s">
        <v>70</v>
      </c>
      <c r="O123" s="9" t="s">
        <v>70</v>
      </c>
      <c r="P123" s="10">
        <v>4</v>
      </c>
      <c r="Q123" s="10">
        <v>4</v>
      </c>
      <c r="R123" s="10">
        <v>4</v>
      </c>
      <c r="S123" s="10">
        <v>4</v>
      </c>
      <c r="T123" s="10">
        <v>3.5</v>
      </c>
      <c r="U123" s="10">
        <v>3</v>
      </c>
      <c r="V123" s="10">
        <v>3.75</v>
      </c>
      <c r="W123" s="11">
        <v>4</v>
      </c>
      <c r="X123" s="11">
        <v>4</v>
      </c>
      <c r="Y123" s="11">
        <v>5</v>
      </c>
      <c r="Z123" s="11">
        <v>4</v>
      </c>
      <c r="AA123" s="11">
        <v>4</v>
      </c>
      <c r="AB123" s="11">
        <v>4</v>
      </c>
      <c r="AC123" s="11">
        <v>4.166666666666667</v>
      </c>
      <c r="AD123" s="10"/>
      <c r="AE123" s="10"/>
      <c r="AF123" s="10"/>
      <c r="AG123" s="10"/>
      <c r="AH123" s="10"/>
      <c r="AI123" s="10"/>
      <c r="AJ123" s="10">
        <v>3</v>
      </c>
      <c r="AK123" s="10">
        <v>4</v>
      </c>
      <c r="AL123" s="10">
        <v>4</v>
      </c>
      <c r="AM123" s="10">
        <v>4</v>
      </c>
      <c r="AN123" s="10">
        <v>4</v>
      </c>
      <c r="AO123" s="10">
        <v>3</v>
      </c>
      <c r="AP123" s="10">
        <v>5</v>
      </c>
      <c r="AQ123" s="12">
        <v>2</v>
      </c>
      <c r="AR123" s="12">
        <v>2</v>
      </c>
      <c r="AS123" s="12">
        <v>2</v>
      </c>
      <c r="AT123" s="12">
        <v>2</v>
      </c>
      <c r="AU123" s="12">
        <v>2.5</v>
      </c>
      <c r="AV123" s="12">
        <v>2.1</v>
      </c>
      <c r="AW123" s="12">
        <v>2</v>
      </c>
      <c r="AX123" s="12">
        <v>2</v>
      </c>
      <c r="AY123" s="12">
        <v>3</v>
      </c>
      <c r="AZ123" s="12">
        <v>3</v>
      </c>
      <c r="BA123" s="12">
        <v>3</v>
      </c>
      <c r="BB123" s="13">
        <v>625</v>
      </c>
      <c r="BC123" s="13">
        <v>833</v>
      </c>
      <c r="BD123" s="13">
        <v>28</v>
      </c>
      <c r="BE123" s="13">
        <v>0.33</v>
      </c>
      <c r="BF123" s="13" t="s">
        <v>217</v>
      </c>
      <c r="BG123" s="13" t="s">
        <v>324</v>
      </c>
      <c r="BH123" s="13" t="s">
        <v>335</v>
      </c>
      <c r="BI123" s="13" t="s">
        <v>325</v>
      </c>
      <c r="BX123" s="9">
        <f t="shared" si="19"/>
        <v>4</v>
      </c>
      <c r="BY123" s="9">
        <f t="shared" si="20"/>
        <v>3</v>
      </c>
      <c r="BZ123" s="9">
        <f t="shared" si="21"/>
        <v>3</v>
      </c>
      <c r="CA123" s="9">
        <f t="shared" si="22"/>
        <v>4</v>
      </c>
      <c r="CB123" s="9">
        <f t="shared" si="23"/>
        <v>3</v>
      </c>
      <c r="CC123" s="9">
        <f t="shared" si="24"/>
        <v>5</v>
      </c>
      <c r="CD123" s="9">
        <f t="shared" si="25"/>
        <v>3</v>
      </c>
      <c r="CE123" s="21">
        <f t="shared" si="26"/>
        <v>4.166666666666667</v>
      </c>
      <c r="CF123" s="21">
        <f t="shared" si="27"/>
        <v>3</v>
      </c>
      <c r="CG123" s="21">
        <f t="shared" si="28"/>
        <v>3.75</v>
      </c>
      <c r="CH123" s="21">
        <f t="shared" si="29"/>
        <v>4</v>
      </c>
      <c r="CI123" s="21">
        <f t="shared" si="30"/>
        <v>5</v>
      </c>
      <c r="CJ123" s="21">
        <f t="shared" si="31"/>
        <v>3.9833333333333334</v>
      </c>
    </row>
    <row r="124" spans="1:88">
      <c r="A124" s="9">
        <v>123</v>
      </c>
      <c r="B124" s="9" t="s">
        <v>151</v>
      </c>
      <c r="C124" s="9" t="s">
        <v>98</v>
      </c>
      <c r="D124" s="9" t="s">
        <v>72</v>
      </c>
      <c r="E124" s="9" t="s">
        <v>105</v>
      </c>
      <c r="F124" s="9" t="s">
        <v>78</v>
      </c>
      <c r="G124" s="9">
        <v>2019</v>
      </c>
      <c r="H124" s="9" t="s">
        <v>65</v>
      </c>
      <c r="I124" s="9" t="s">
        <v>87</v>
      </c>
      <c r="J124" s="9" t="s">
        <v>65</v>
      </c>
      <c r="K124" s="9" t="s">
        <v>323</v>
      </c>
      <c r="N124" s="9" t="s">
        <v>70</v>
      </c>
      <c r="O124" s="9" t="s">
        <v>70</v>
      </c>
      <c r="P124" s="10">
        <v>4.5</v>
      </c>
      <c r="Q124" s="10">
        <v>4</v>
      </c>
      <c r="R124" s="10">
        <v>3</v>
      </c>
      <c r="S124" s="10">
        <v>4</v>
      </c>
      <c r="T124" s="10">
        <v>3.5</v>
      </c>
      <c r="U124" s="10">
        <v>4</v>
      </c>
      <c r="V124" s="10">
        <v>3.8333333333333335</v>
      </c>
      <c r="W124" s="11">
        <v>3.5</v>
      </c>
      <c r="X124" s="11"/>
      <c r="Y124" s="11">
        <v>2</v>
      </c>
      <c r="Z124" s="11">
        <v>4</v>
      </c>
      <c r="AA124" s="11">
        <v>3.5</v>
      </c>
      <c r="AB124" s="11">
        <v>2</v>
      </c>
      <c r="AC124" s="11">
        <v>2.5</v>
      </c>
      <c r="AD124" s="10"/>
      <c r="AE124" s="10"/>
      <c r="AF124" s="10"/>
      <c r="AG124" s="10"/>
      <c r="AH124" s="10"/>
      <c r="AI124" s="10"/>
      <c r="AJ124" s="10">
        <v>4</v>
      </c>
      <c r="AK124" s="10">
        <v>4</v>
      </c>
      <c r="AL124" s="10">
        <v>3</v>
      </c>
      <c r="AM124" s="10">
        <v>4</v>
      </c>
      <c r="AN124" s="10">
        <v>3.6666666666666665</v>
      </c>
      <c r="AO124" s="10">
        <v>4</v>
      </c>
      <c r="AP124" s="10">
        <v>5</v>
      </c>
      <c r="AQ124" s="12">
        <v>2</v>
      </c>
      <c r="AR124" s="12">
        <v>1</v>
      </c>
      <c r="AS124" s="12">
        <v>2</v>
      </c>
      <c r="AT124" s="12">
        <v>2</v>
      </c>
      <c r="AU124" s="12">
        <v>2</v>
      </c>
      <c r="AV124" s="12">
        <v>1.8</v>
      </c>
      <c r="AW124" s="12">
        <v>2</v>
      </c>
      <c r="AX124" s="12">
        <v>1</v>
      </c>
      <c r="AY124" s="12">
        <v>1</v>
      </c>
      <c r="AZ124" s="12">
        <v>3</v>
      </c>
      <c r="BA124" s="12">
        <v>1</v>
      </c>
      <c r="BB124" s="13">
        <v>516</v>
      </c>
      <c r="BC124" s="13">
        <v>782</v>
      </c>
      <c r="BD124" s="13">
        <v>266</v>
      </c>
      <c r="BE124" s="13">
        <v>0.52</v>
      </c>
      <c r="BF124" s="13" t="s">
        <v>217</v>
      </c>
      <c r="BG124" s="13" t="s">
        <v>324</v>
      </c>
      <c r="BH124" s="13" t="s">
        <v>330</v>
      </c>
      <c r="BI124" s="13" t="s">
        <v>325</v>
      </c>
      <c r="BX124" s="9">
        <f t="shared" si="19"/>
        <v>2</v>
      </c>
      <c r="BY124" s="9">
        <f t="shared" si="20"/>
        <v>4</v>
      </c>
      <c r="BZ124" s="9">
        <f t="shared" si="21"/>
        <v>3</v>
      </c>
      <c r="CA124" s="9">
        <f t="shared" si="22"/>
        <v>3</v>
      </c>
      <c r="CB124" s="9">
        <f t="shared" si="23"/>
        <v>4</v>
      </c>
      <c r="CC124" s="9">
        <f t="shared" si="24"/>
        <v>5</v>
      </c>
      <c r="CD124" s="9">
        <f t="shared" si="25"/>
        <v>2</v>
      </c>
      <c r="CE124" s="21">
        <f t="shared" si="26"/>
        <v>2.5</v>
      </c>
      <c r="CF124" s="21">
        <f t="shared" si="27"/>
        <v>4</v>
      </c>
      <c r="CG124" s="21">
        <f t="shared" si="28"/>
        <v>3.8333333333333335</v>
      </c>
      <c r="CH124" s="21">
        <f t="shared" si="29"/>
        <v>3.6666666666666665</v>
      </c>
      <c r="CI124" s="21">
        <f t="shared" si="30"/>
        <v>5</v>
      </c>
      <c r="CJ124" s="21">
        <f t="shared" si="31"/>
        <v>3.8</v>
      </c>
    </row>
    <row r="125" spans="1:88">
      <c r="A125" s="9">
        <v>124</v>
      </c>
      <c r="B125" s="9" t="s">
        <v>114</v>
      </c>
      <c r="C125" s="9" t="s">
        <v>153</v>
      </c>
      <c r="D125" s="9" t="s">
        <v>96</v>
      </c>
      <c r="E125" s="9" t="s">
        <v>63</v>
      </c>
      <c r="H125" s="9" t="s">
        <v>65</v>
      </c>
      <c r="I125" s="9" t="s">
        <v>87</v>
      </c>
      <c r="J125" s="9" t="s">
        <v>69</v>
      </c>
      <c r="K125" s="9" t="s">
        <v>323</v>
      </c>
      <c r="N125" s="9" t="s">
        <v>70</v>
      </c>
      <c r="P125" s="10">
        <v>4.5</v>
      </c>
      <c r="Q125" s="10">
        <v>4</v>
      </c>
      <c r="R125" s="10">
        <v>3</v>
      </c>
      <c r="S125" s="10">
        <v>3.5</v>
      </c>
      <c r="T125" s="10">
        <v>2.5</v>
      </c>
      <c r="U125" s="10">
        <v>3</v>
      </c>
      <c r="V125" s="10">
        <v>3.4166666666666665</v>
      </c>
      <c r="W125" s="11">
        <v>4</v>
      </c>
      <c r="X125" s="11">
        <v>4</v>
      </c>
      <c r="Y125" s="11">
        <v>4</v>
      </c>
      <c r="Z125" s="11">
        <v>4</v>
      </c>
      <c r="AA125" s="11">
        <v>4</v>
      </c>
      <c r="AB125" s="11">
        <v>4</v>
      </c>
      <c r="AC125" s="11">
        <v>4</v>
      </c>
      <c r="AD125" s="10"/>
      <c r="AE125" s="10"/>
      <c r="AF125" s="10"/>
      <c r="AG125" s="10"/>
      <c r="AH125" s="10"/>
      <c r="AI125" s="10"/>
      <c r="AJ125" s="10">
        <v>4</v>
      </c>
      <c r="AK125" s="10">
        <v>3</v>
      </c>
      <c r="AL125" s="10">
        <v>5</v>
      </c>
      <c r="AM125" s="10">
        <v>5</v>
      </c>
      <c r="AN125" s="10">
        <v>4.333333333333333</v>
      </c>
      <c r="AO125" s="10">
        <v>3</v>
      </c>
      <c r="AP125" s="10">
        <v>5</v>
      </c>
      <c r="AQ125" s="12">
        <v>3</v>
      </c>
      <c r="AR125" s="12">
        <v>3</v>
      </c>
      <c r="AS125" s="12">
        <v>3</v>
      </c>
      <c r="AT125" s="12">
        <v>3</v>
      </c>
      <c r="AU125" s="12">
        <v>2.5</v>
      </c>
      <c r="AV125" s="12">
        <v>2.9</v>
      </c>
      <c r="AW125" s="12">
        <v>2</v>
      </c>
      <c r="AX125" s="12">
        <v>2</v>
      </c>
      <c r="AY125" s="12">
        <v>2</v>
      </c>
      <c r="AZ125" s="12">
        <v>3</v>
      </c>
      <c r="BA125" s="12">
        <v>2</v>
      </c>
      <c r="BB125" s="13">
        <v>413</v>
      </c>
      <c r="BC125" s="13">
        <v>6</v>
      </c>
      <c r="BD125" s="13">
        <v>187</v>
      </c>
      <c r="BE125" s="13">
        <v>0.45</v>
      </c>
      <c r="BF125" s="13" t="s">
        <v>209</v>
      </c>
      <c r="BG125" s="13" t="s">
        <v>326</v>
      </c>
      <c r="BH125" s="13" t="s">
        <v>330</v>
      </c>
      <c r="BI125" s="13" t="s">
        <v>325</v>
      </c>
      <c r="BX125" s="9">
        <f t="shared" si="19"/>
        <v>4</v>
      </c>
      <c r="BY125" s="9">
        <f t="shared" si="20"/>
        <v>4</v>
      </c>
      <c r="BZ125" s="9">
        <f t="shared" si="21"/>
        <v>2.5</v>
      </c>
      <c r="CA125" s="9">
        <f t="shared" si="22"/>
        <v>3</v>
      </c>
      <c r="CB125" s="9">
        <f t="shared" si="23"/>
        <v>3</v>
      </c>
      <c r="CC125" s="9">
        <f t="shared" si="24"/>
        <v>5</v>
      </c>
      <c r="CD125" s="9">
        <f t="shared" si="25"/>
        <v>2.5</v>
      </c>
      <c r="CE125" s="21">
        <f t="shared" si="26"/>
        <v>4</v>
      </c>
      <c r="CF125" s="21">
        <f t="shared" si="27"/>
        <v>4</v>
      </c>
      <c r="CG125" s="21">
        <f t="shared" si="28"/>
        <v>3.4166666666666665</v>
      </c>
      <c r="CH125" s="21">
        <f t="shared" si="29"/>
        <v>4.333333333333333</v>
      </c>
      <c r="CI125" s="21">
        <f t="shared" si="30"/>
        <v>5</v>
      </c>
      <c r="CJ125" s="21">
        <f t="shared" si="31"/>
        <v>4.1500000000000004</v>
      </c>
    </row>
    <row r="126" spans="1:88">
      <c r="A126" s="9">
        <v>125</v>
      </c>
      <c r="B126" s="9" t="s">
        <v>119</v>
      </c>
      <c r="C126" s="9" t="s">
        <v>120</v>
      </c>
      <c r="D126" s="9" t="s">
        <v>62</v>
      </c>
      <c r="E126" s="9" t="s">
        <v>78</v>
      </c>
      <c r="F126" s="9" t="s">
        <v>64</v>
      </c>
      <c r="H126" s="9" t="s">
        <v>69</v>
      </c>
      <c r="I126" s="9" t="s">
        <v>83</v>
      </c>
      <c r="J126" s="9" t="s">
        <v>65</v>
      </c>
      <c r="K126" s="9" t="s">
        <v>92</v>
      </c>
      <c r="L126" s="9" t="s">
        <v>70</v>
      </c>
      <c r="P126" s="10">
        <v>3.5</v>
      </c>
      <c r="Q126" s="10">
        <v>3</v>
      </c>
      <c r="R126" s="10">
        <v>4</v>
      </c>
      <c r="S126" s="10">
        <v>3</v>
      </c>
      <c r="T126" s="10">
        <v>3</v>
      </c>
      <c r="U126" s="10">
        <v>3</v>
      </c>
      <c r="V126" s="10">
        <v>3.25</v>
      </c>
      <c r="W126" s="11">
        <v>1</v>
      </c>
      <c r="X126" s="11">
        <v>1</v>
      </c>
      <c r="Y126" s="11">
        <v>1</v>
      </c>
      <c r="Z126" s="11">
        <v>1</v>
      </c>
      <c r="AA126" s="11">
        <v>1</v>
      </c>
      <c r="AB126" s="11">
        <v>1</v>
      </c>
      <c r="AC126" s="11">
        <v>1</v>
      </c>
      <c r="AD126" s="10"/>
      <c r="AE126" s="10"/>
      <c r="AF126" s="10"/>
      <c r="AG126" s="10"/>
      <c r="AH126" s="10"/>
      <c r="AI126" s="10"/>
      <c r="AJ126" s="10">
        <v>2</v>
      </c>
      <c r="AK126" s="10">
        <v>3</v>
      </c>
      <c r="AL126" s="10">
        <v>4</v>
      </c>
      <c r="AM126" s="10"/>
      <c r="AN126" s="10">
        <v>3.5</v>
      </c>
      <c r="AO126" s="10">
        <v>3</v>
      </c>
      <c r="AP126" s="10">
        <v>4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X126" s="9">
        <f t="shared" si="19"/>
        <v>1</v>
      </c>
      <c r="BY126" s="9">
        <f t="shared" si="20"/>
        <v>2</v>
      </c>
      <c r="BZ126" s="9">
        <f t="shared" si="21"/>
        <v>3</v>
      </c>
      <c r="CA126" s="9">
        <f t="shared" si="22"/>
        <v>3</v>
      </c>
      <c r="CB126" s="9">
        <f t="shared" si="23"/>
        <v>3</v>
      </c>
      <c r="CC126" s="9">
        <f t="shared" si="24"/>
        <v>4</v>
      </c>
      <c r="CD126" s="9">
        <f t="shared" si="25"/>
        <v>1</v>
      </c>
      <c r="CE126" s="21">
        <f t="shared" si="26"/>
        <v>1</v>
      </c>
      <c r="CF126" s="21">
        <f t="shared" si="27"/>
        <v>2</v>
      </c>
      <c r="CG126" s="21">
        <f t="shared" si="28"/>
        <v>3.25</v>
      </c>
      <c r="CH126" s="21">
        <f t="shared" si="29"/>
        <v>3.5</v>
      </c>
      <c r="CI126" s="21">
        <f t="shared" si="30"/>
        <v>4</v>
      </c>
      <c r="CJ126" s="21">
        <f t="shared" si="31"/>
        <v>2.75</v>
      </c>
    </row>
    <row r="127" spans="1:88">
      <c r="A127" s="9">
        <v>126</v>
      </c>
      <c r="B127" s="9" t="s">
        <v>138</v>
      </c>
      <c r="C127" s="9" t="s">
        <v>85</v>
      </c>
      <c r="D127" s="9" t="s">
        <v>96</v>
      </c>
      <c r="E127" s="9" t="s">
        <v>63</v>
      </c>
      <c r="F127" s="9" t="s">
        <v>64</v>
      </c>
      <c r="H127" s="9" t="s">
        <v>65</v>
      </c>
      <c r="I127" s="9" t="s">
        <v>87</v>
      </c>
      <c r="J127" s="9" t="s">
        <v>65</v>
      </c>
      <c r="K127" s="9" t="s">
        <v>323</v>
      </c>
      <c r="N127" s="9" t="s">
        <v>70</v>
      </c>
      <c r="O127" s="9" t="s">
        <v>70</v>
      </c>
      <c r="P127" s="10">
        <v>3</v>
      </c>
      <c r="Q127" s="10">
        <v>2</v>
      </c>
      <c r="R127" s="10">
        <v>3</v>
      </c>
      <c r="S127" s="10">
        <v>3</v>
      </c>
      <c r="T127" s="10">
        <v>2.5</v>
      </c>
      <c r="U127" s="10">
        <v>2</v>
      </c>
      <c r="V127" s="10">
        <v>2.5833333333333335</v>
      </c>
      <c r="W127" s="11">
        <v>4</v>
      </c>
      <c r="X127" s="11">
        <v>4</v>
      </c>
      <c r="Y127" s="11">
        <v>4</v>
      </c>
      <c r="Z127" s="11">
        <v>4</v>
      </c>
      <c r="AA127" s="11">
        <v>4</v>
      </c>
      <c r="AB127" s="11">
        <v>4</v>
      </c>
      <c r="AC127" s="11">
        <v>4</v>
      </c>
      <c r="AD127" s="10"/>
      <c r="AE127" s="10"/>
      <c r="AF127" s="10"/>
      <c r="AG127" s="10"/>
      <c r="AH127" s="10"/>
      <c r="AI127" s="10"/>
      <c r="AJ127" s="10">
        <v>4</v>
      </c>
      <c r="AK127" s="10">
        <v>4</v>
      </c>
      <c r="AL127" s="10">
        <v>4</v>
      </c>
      <c r="AM127" s="10">
        <v>4</v>
      </c>
      <c r="AN127" s="10">
        <v>4</v>
      </c>
      <c r="AO127" s="10">
        <v>2</v>
      </c>
      <c r="AP127" s="10">
        <v>3.25</v>
      </c>
      <c r="AQ127" s="12">
        <v>2</v>
      </c>
      <c r="AR127" s="12">
        <v>2</v>
      </c>
      <c r="AS127" s="12">
        <v>3</v>
      </c>
      <c r="AT127" s="12">
        <v>3</v>
      </c>
      <c r="AU127" s="12">
        <v>2.5</v>
      </c>
      <c r="AV127" s="12">
        <v>2.5</v>
      </c>
      <c r="AW127" s="12">
        <v>2</v>
      </c>
      <c r="AX127" s="12">
        <v>3</v>
      </c>
      <c r="AY127" s="12">
        <v>3</v>
      </c>
      <c r="AZ127" s="12">
        <v>2</v>
      </c>
      <c r="BA127" s="12">
        <v>3</v>
      </c>
      <c r="BB127" s="13">
        <v>52</v>
      </c>
      <c r="BC127" s="13">
        <v>645</v>
      </c>
      <c r="BD127" s="13">
        <v>143</v>
      </c>
      <c r="BE127" s="13">
        <v>0.28000000000000003</v>
      </c>
      <c r="BF127" s="13" t="s">
        <v>209</v>
      </c>
      <c r="BG127" s="13" t="s">
        <v>326</v>
      </c>
      <c r="BH127" s="13" t="s">
        <v>330</v>
      </c>
      <c r="BI127" s="13" t="s">
        <v>325</v>
      </c>
      <c r="BX127" s="9">
        <f t="shared" si="19"/>
        <v>4</v>
      </c>
      <c r="BY127" s="9">
        <f t="shared" si="20"/>
        <v>4</v>
      </c>
      <c r="BZ127" s="9">
        <f t="shared" si="21"/>
        <v>2</v>
      </c>
      <c r="CA127" s="9">
        <f t="shared" si="22"/>
        <v>4</v>
      </c>
      <c r="CB127" s="9">
        <f t="shared" si="23"/>
        <v>2</v>
      </c>
      <c r="CC127" s="9">
        <f t="shared" si="24"/>
        <v>3.25</v>
      </c>
      <c r="CD127" s="9">
        <f t="shared" si="25"/>
        <v>2</v>
      </c>
      <c r="CE127" s="21">
        <f t="shared" si="26"/>
        <v>4</v>
      </c>
      <c r="CF127" s="21">
        <f t="shared" si="27"/>
        <v>4</v>
      </c>
      <c r="CG127" s="21">
        <f t="shared" si="28"/>
        <v>2.5833333333333335</v>
      </c>
      <c r="CH127" s="21">
        <f t="shared" si="29"/>
        <v>4</v>
      </c>
      <c r="CI127" s="21">
        <f t="shared" si="30"/>
        <v>3.25</v>
      </c>
      <c r="CJ127" s="21">
        <f t="shared" si="31"/>
        <v>3.5666666666666673</v>
      </c>
    </row>
    <row r="128" spans="1:88">
      <c r="A128" s="9">
        <v>127</v>
      </c>
      <c r="B128" s="9" t="s">
        <v>151</v>
      </c>
      <c r="C128" s="9" t="s">
        <v>134</v>
      </c>
      <c r="D128" s="9" t="s">
        <v>77</v>
      </c>
      <c r="E128" s="9" t="s">
        <v>74</v>
      </c>
      <c r="F128" s="9" t="s">
        <v>64</v>
      </c>
      <c r="G128" s="9">
        <v>2012</v>
      </c>
      <c r="H128" s="9" t="s">
        <v>65</v>
      </c>
      <c r="I128" s="9" t="s">
        <v>87</v>
      </c>
      <c r="K128" s="9" t="s">
        <v>322</v>
      </c>
      <c r="N128" s="9" t="s">
        <v>70</v>
      </c>
      <c r="P128" s="10">
        <v>4</v>
      </c>
      <c r="Q128" s="10">
        <v>4</v>
      </c>
      <c r="R128" s="10">
        <v>4</v>
      </c>
      <c r="S128" s="10">
        <v>4</v>
      </c>
      <c r="T128" s="10">
        <v>4</v>
      </c>
      <c r="U128" s="10">
        <v>4</v>
      </c>
      <c r="V128" s="10">
        <v>4</v>
      </c>
      <c r="W128" s="11">
        <v>4</v>
      </c>
      <c r="X128" s="11">
        <v>4</v>
      </c>
      <c r="Y128" s="11">
        <v>4</v>
      </c>
      <c r="Z128" s="11">
        <v>3</v>
      </c>
      <c r="AA128" s="11">
        <v>4</v>
      </c>
      <c r="AB128" s="11">
        <v>4</v>
      </c>
      <c r="AC128" s="11">
        <v>3.8333333333333335</v>
      </c>
      <c r="AD128" s="10"/>
      <c r="AE128" s="10"/>
      <c r="AF128" s="10"/>
      <c r="AG128" s="10"/>
      <c r="AH128" s="10"/>
      <c r="AI128" s="10"/>
      <c r="AJ128" s="10">
        <v>2</v>
      </c>
      <c r="AK128" s="10">
        <v>4</v>
      </c>
      <c r="AL128" s="10">
        <v>4</v>
      </c>
      <c r="AM128" s="10">
        <v>4</v>
      </c>
      <c r="AN128" s="10">
        <v>4</v>
      </c>
      <c r="AO128" s="10">
        <v>4</v>
      </c>
      <c r="AP128" s="10">
        <v>4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X128" s="9">
        <f t="shared" si="19"/>
        <v>3</v>
      </c>
      <c r="BY128" s="9">
        <f t="shared" si="20"/>
        <v>2</v>
      </c>
      <c r="BZ128" s="9">
        <f t="shared" si="21"/>
        <v>4</v>
      </c>
      <c r="CA128" s="9">
        <f t="shared" si="22"/>
        <v>4</v>
      </c>
      <c r="CB128" s="9">
        <f t="shared" si="23"/>
        <v>4</v>
      </c>
      <c r="CC128" s="9">
        <f t="shared" si="24"/>
        <v>4</v>
      </c>
      <c r="CD128" s="9">
        <f t="shared" si="25"/>
        <v>2</v>
      </c>
      <c r="CE128" s="21">
        <f t="shared" si="26"/>
        <v>3.8333333333333335</v>
      </c>
      <c r="CF128" s="21">
        <f t="shared" si="27"/>
        <v>2</v>
      </c>
      <c r="CG128" s="21">
        <f t="shared" si="28"/>
        <v>4</v>
      </c>
      <c r="CH128" s="21">
        <f t="shared" si="29"/>
        <v>4</v>
      </c>
      <c r="CI128" s="21">
        <f t="shared" si="30"/>
        <v>4</v>
      </c>
      <c r="CJ128" s="21">
        <f t="shared" si="31"/>
        <v>3.5666666666666673</v>
      </c>
    </row>
    <row r="129" spans="1:88">
      <c r="A129" s="9">
        <v>128</v>
      </c>
      <c r="B129" s="9" t="s">
        <v>151</v>
      </c>
      <c r="C129" s="9" t="s">
        <v>153</v>
      </c>
      <c r="D129" s="9" t="s">
        <v>72</v>
      </c>
      <c r="E129" s="9" t="s">
        <v>78</v>
      </c>
      <c r="F129" s="9" t="s">
        <v>78</v>
      </c>
      <c r="G129" s="9">
        <v>2012</v>
      </c>
      <c r="H129" s="9" t="s">
        <v>65</v>
      </c>
      <c r="I129" s="9" t="s">
        <v>87</v>
      </c>
      <c r="J129" s="9" t="s">
        <v>69</v>
      </c>
      <c r="K129" s="9" t="s">
        <v>323</v>
      </c>
      <c r="N129" s="9" t="s">
        <v>70</v>
      </c>
      <c r="P129" s="10">
        <v>2.5</v>
      </c>
      <c r="Q129" s="10">
        <v>3</v>
      </c>
      <c r="R129" s="10">
        <v>3</v>
      </c>
      <c r="S129" s="10">
        <v>3</v>
      </c>
      <c r="T129" s="10">
        <v>3</v>
      </c>
      <c r="U129" s="10">
        <v>2</v>
      </c>
      <c r="V129" s="10">
        <v>2.75</v>
      </c>
      <c r="W129" s="11">
        <v>3</v>
      </c>
      <c r="X129" s="11">
        <v>3</v>
      </c>
      <c r="Y129" s="11">
        <v>3</v>
      </c>
      <c r="Z129" s="11">
        <v>2</v>
      </c>
      <c r="AA129" s="11">
        <v>3</v>
      </c>
      <c r="AB129" s="11">
        <v>2</v>
      </c>
      <c r="AC129" s="11">
        <v>2.6666666666666665</v>
      </c>
      <c r="AD129" s="10">
        <v>4</v>
      </c>
      <c r="AE129" s="10">
        <v>4</v>
      </c>
      <c r="AF129" s="10">
        <v>3</v>
      </c>
      <c r="AG129" s="10">
        <v>4</v>
      </c>
      <c r="AH129" s="10">
        <v>4</v>
      </c>
      <c r="AI129" s="10">
        <v>1</v>
      </c>
      <c r="AJ129" s="10">
        <v>3.3333333333333335</v>
      </c>
      <c r="AK129" s="10">
        <v>4</v>
      </c>
      <c r="AL129" s="10">
        <v>3</v>
      </c>
      <c r="AM129" s="10"/>
      <c r="AN129" s="10">
        <v>3.5</v>
      </c>
      <c r="AO129" s="10">
        <v>4</v>
      </c>
      <c r="AP129" s="10">
        <v>4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X129" s="9">
        <f t="shared" si="19"/>
        <v>2</v>
      </c>
      <c r="BY129" s="9">
        <f t="shared" si="20"/>
        <v>1</v>
      </c>
      <c r="BZ129" s="9">
        <f t="shared" si="21"/>
        <v>2</v>
      </c>
      <c r="CA129" s="9">
        <f t="shared" si="22"/>
        <v>3</v>
      </c>
      <c r="CB129" s="9">
        <f t="shared" si="23"/>
        <v>4</v>
      </c>
      <c r="CC129" s="9">
        <f t="shared" si="24"/>
        <v>4</v>
      </c>
      <c r="CD129" s="9">
        <f t="shared" si="25"/>
        <v>1</v>
      </c>
      <c r="CE129" s="21">
        <f t="shared" si="26"/>
        <v>2.6666666666666665</v>
      </c>
      <c r="CF129" s="21">
        <f t="shared" si="27"/>
        <v>3.3333333333333335</v>
      </c>
      <c r="CG129" s="21">
        <f t="shared" si="28"/>
        <v>2.75</v>
      </c>
      <c r="CH129" s="21">
        <f t="shared" si="29"/>
        <v>3.5</v>
      </c>
      <c r="CI129" s="21">
        <f t="shared" si="30"/>
        <v>4</v>
      </c>
      <c r="CJ129" s="21">
        <f t="shared" si="31"/>
        <v>3.25</v>
      </c>
    </row>
    <row r="130" spans="1:88">
      <c r="A130" s="9">
        <v>129</v>
      </c>
      <c r="B130" s="9" t="s">
        <v>95</v>
      </c>
      <c r="D130" s="9" t="s">
        <v>73</v>
      </c>
      <c r="E130" s="9" t="s">
        <v>74</v>
      </c>
      <c r="F130" s="9" t="s">
        <v>64</v>
      </c>
      <c r="G130" s="9">
        <v>2013</v>
      </c>
      <c r="H130" s="9" t="s">
        <v>65</v>
      </c>
      <c r="I130" s="9" t="s">
        <v>65</v>
      </c>
      <c r="K130" s="9" t="s">
        <v>322</v>
      </c>
      <c r="N130" s="9" t="s">
        <v>70</v>
      </c>
      <c r="P130" s="10">
        <v>3.5</v>
      </c>
      <c r="Q130" s="10">
        <v>3</v>
      </c>
      <c r="R130" s="10">
        <v>3</v>
      </c>
      <c r="S130" s="10">
        <v>3</v>
      </c>
      <c r="T130" s="10">
        <v>3</v>
      </c>
      <c r="U130" s="10">
        <v>3</v>
      </c>
      <c r="V130" s="10">
        <v>3.8333333333333002</v>
      </c>
      <c r="W130" s="11">
        <v>4.5</v>
      </c>
      <c r="X130" s="11">
        <v>4</v>
      </c>
      <c r="Y130" s="11">
        <v>4</v>
      </c>
      <c r="Z130" s="11">
        <v>4</v>
      </c>
      <c r="AA130" s="11">
        <v>4</v>
      </c>
      <c r="AB130" s="11">
        <v>2</v>
      </c>
      <c r="AC130" s="11">
        <v>3.75</v>
      </c>
      <c r="AD130" s="10">
        <v>5</v>
      </c>
      <c r="AE130" s="10">
        <v>5</v>
      </c>
      <c r="AF130" s="10">
        <v>4</v>
      </c>
      <c r="AG130" s="10">
        <v>4.5</v>
      </c>
      <c r="AH130" s="10">
        <v>4.5</v>
      </c>
      <c r="AI130" s="10">
        <v>4</v>
      </c>
      <c r="AJ130" s="10">
        <v>4.5</v>
      </c>
      <c r="AK130" s="10">
        <v>3</v>
      </c>
      <c r="AL130" s="10">
        <v>4</v>
      </c>
      <c r="AM130" s="10">
        <v>3</v>
      </c>
      <c r="AN130" s="10">
        <v>3.3333333333333335</v>
      </c>
      <c r="AO130" s="10">
        <v>4</v>
      </c>
      <c r="AP130" s="10">
        <v>4</v>
      </c>
      <c r="AQ130" s="12">
        <v>2</v>
      </c>
      <c r="AR130" s="12">
        <v>3</v>
      </c>
      <c r="AS130" s="12">
        <v>3</v>
      </c>
      <c r="AT130" s="12">
        <v>2</v>
      </c>
      <c r="AU130" s="12">
        <v>3</v>
      </c>
      <c r="AV130" s="12">
        <v>2.6</v>
      </c>
      <c r="AW130" s="12">
        <v>2</v>
      </c>
      <c r="AX130" s="12">
        <v>1</v>
      </c>
      <c r="AY130" s="12">
        <v>3</v>
      </c>
      <c r="AZ130" s="12">
        <v>3</v>
      </c>
      <c r="BA130" s="12">
        <v>3</v>
      </c>
      <c r="BB130" s="13">
        <v>291</v>
      </c>
      <c r="BC130" s="13">
        <v>396</v>
      </c>
      <c r="BD130" s="13">
        <v>15</v>
      </c>
      <c r="BE130" s="13">
        <v>0.36</v>
      </c>
      <c r="BF130" s="13" t="s">
        <v>217</v>
      </c>
      <c r="BG130" s="13" t="s">
        <v>324</v>
      </c>
      <c r="BH130" s="13" t="s">
        <v>327</v>
      </c>
      <c r="BI130" s="13" t="s">
        <v>334</v>
      </c>
      <c r="BX130" s="9">
        <f t="shared" si="19"/>
        <v>2</v>
      </c>
      <c r="BY130" s="9">
        <f t="shared" si="20"/>
        <v>4</v>
      </c>
      <c r="BZ130" s="9">
        <f t="shared" si="21"/>
        <v>3</v>
      </c>
      <c r="CA130" s="9">
        <f t="shared" si="22"/>
        <v>3</v>
      </c>
      <c r="CB130" s="9">
        <f t="shared" si="23"/>
        <v>4</v>
      </c>
      <c r="CC130" s="9">
        <f t="shared" si="24"/>
        <v>4</v>
      </c>
      <c r="CD130" s="9">
        <f t="shared" si="25"/>
        <v>2</v>
      </c>
      <c r="CE130" s="21">
        <f t="shared" si="26"/>
        <v>3.75</v>
      </c>
      <c r="CF130" s="21">
        <f t="shared" si="27"/>
        <v>4.5</v>
      </c>
      <c r="CG130" s="21">
        <f t="shared" si="28"/>
        <v>3.8333333333333002</v>
      </c>
      <c r="CH130" s="21">
        <f t="shared" si="29"/>
        <v>3.3333333333333335</v>
      </c>
      <c r="CI130" s="21">
        <f t="shared" si="30"/>
        <v>4</v>
      </c>
      <c r="CJ130" s="21">
        <f t="shared" si="31"/>
        <v>3.8833333333333271</v>
      </c>
    </row>
    <row r="131" spans="1:88">
      <c r="A131" s="9">
        <v>130</v>
      </c>
      <c r="B131" s="9" t="s">
        <v>101</v>
      </c>
      <c r="C131" s="9" t="s">
        <v>102</v>
      </c>
      <c r="D131" s="9" t="s">
        <v>96</v>
      </c>
      <c r="E131" s="9" t="s">
        <v>105</v>
      </c>
      <c r="F131" s="9" t="s">
        <v>64</v>
      </c>
      <c r="H131" s="9" t="s">
        <v>65</v>
      </c>
      <c r="I131" s="9" t="s">
        <v>83</v>
      </c>
      <c r="J131" s="9" t="s">
        <v>69</v>
      </c>
      <c r="K131" s="9" t="s">
        <v>323</v>
      </c>
      <c r="N131" s="9" t="s">
        <v>70</v>
      </c>
      <c r="P131" s="10">
        <v>4.5</v>
      </c>
      <c r="Q131" s="10">
        <v>4</v>
      </c>
      <c r="R131" s="10">
        <v>4</v>
      </c>
      <c r="S131" s="10">
        <v>3.5</v>
      </c>
      <c r="T131" s="10">
        <v>4</v>
      </c>
      <c r="U131" s="10">
        <v>3</v>
      </c>
      <c r="V131" s="10">
        <v>3.8333333333333335</v>
      </c>
      <c r="W131" s="11">
        <v>5</v>
      </c>
      <c r="X131" s="11">
        <v>5</v>
      </c>
      <c r="Y131" s="11">
        <v>5</v>
      </c>
      <c r="Z131" s="11">
        <v>5</v>
      </c>
      <c r="AA131" s="11">
        <v>5</v>
      </c>
      <c r="AB131" s="11">
        <v>4</v>
      </c>
      <c r="AC131" s="11">
        <v>4.833333333333333</v>
      </c>
      <c r="AD131" s="10">
        <v>4</v>
      </c>
      <c r="AE131" s="10">
        <v>4</v>
      </c>
      <c r="AF131" s="10">
        <v>4</v>
      </c>
      <c r="AG131" s="10">
        <v>4</v>
      </c>
      <c r="AH131" s="10">
        <v>4</v>
      </c>
      <c r="AI131" s="10">
        <v>4</v>
      </c>
      <c r="AJ131" s="10">
        <v>4</v>
      </c>
      <c r="AK131" s="10">
        <v>4</v>
      </c>
      <c r="AL131" s="10"/>
      <c r="AM131" s="10"/>
      <c r="AN131" s="10">
        <v>4</v>
      </c>
      <c r="AO131" s="10">
        <v>4</v>
      </c>
      <c r="AP131" s="10"/>
      <c r="AQ131" s="12">
        <v>3</v>
      </c>
      <c r="AR131" s="12">
        <v>3</v>
      </c>
      <c r="AS131" s="12">
        <v>3</v>
      </c>
      <c r="AT131" s="12">
        <v>3</v>
      </c>
      <c r="AU131" s="12">
        <v>3</v>
      </c>
      <c r="AV131" s="12">
        <v>3</v>
      </c>
      <c r="AW131" s="12">
        <v>3</v>
      </c>
      <c r="AX131" s="12">
        <v>2</v>
      </c>
      <c r="AY131" s="12">
        <v>3</v>
      </c>
      <c r="AZ131" s="12">
        <v>3</v>
      </c>
      <c r="BA131" s="12">
        <v>3</v>
      </c>
      <c r="BB131" s="13">
        <v>514</v>
      </c>
      <c r="BC131" s="13">
        <v>714</v>
      </c>
      <c r="BD131" s="13">
        <v>2</v>
      </c>
      <c r="BE131" s="13">
        <v>0.39</v>
      </c>
      <c r="BF131" s="13" t="s">
        <v>209</v>
      </c>
      <c r="BG131" s="13" t="s">
        <v>326</v>
      </c>
      <c r="BH131" s="13" t="s">
        <v>330</v>
      </c>
      <c r="BI131" s="13" t="s">
        <v>325</v>
      </c>
      <c r="BX131" s="9">
        <f t="shared" ref="BX131:BX193" si="32">_xlfn.MINIFS(W131:AB131, W131:AB131, "&gt;0")</f>
        <v>4</v>
      </c>
      <c r="BY131" s="9">
        <f t="shared" ref="BY131:BY193" si="33">_xlfn.MINIFS(AD131:AJ131, AD131:AJ131, "&gt;0")</f>
        <v>4</v>
      </c>
      <c r="BZ131" s="9">
        <f t="shared" ref="BZ131:BZ193" si="34">_xlfn.MINIFS(P131:U131, P131:U131, "&gt;0")</f>
        <v>3</v>
      </c>
      <c r="CA131" s="9">
        <f t="shared" ref="CA131:CA193" si="35">_xlfn.MINIFS(AK131:AM131, AK131:AM131, "&gt;0")</f>
        <v>4</v>
      </c>
      <c r="CB131" s="9">
        <f t="shared" ref="CB131:CB193" si="36">_xlfn.MINIFS(AO131, AO131, "&gt;0")</f>
        <v>4</v>
      </c>
      <c r="CC131" s="9">
        <f t="shared" ref="CC131:CC193" si="37">_xlfn.MINIFS(AP131, AP131, "&gt;0")</f>
        <v>0</v>
      </c>
      <c r="CD131" s="9">
        <f t="shared" ref="CD131:CD193" si="38">MIN(BX131:CC131)</f>
        <v>0</v>
      </c>
      <c r="CE131" s="21">
        <f t="shared" ref="CE131:CE193" si="39">AC131</f>
        <v>4.833333333333333</v>
      </c>
      <c r="CF131" s="21">
        <f t="shared" ref="CF131:CF193" si="40">AJ131</f>
        <v>4</v>
      </c>
      <c r="CG131" s="21">
        <f t="shared" ref="CG131:CG193" si="41">V131</f>
        <v>3.8333333333333335</v>
      </c>
      <c r="CH131" s="21">
        <f t="shared" ref="CH131:CH193" si="42">AN131</f>
        <v>4</v>
      </c>
      <c r="CI131" s="21">
        <f t="shared" ref="CI131:CI193" si="43">AP131</f>
        <v>0</v>
      </c>
      <c r="CJ131" s="21">
        <f t="shared" ref="CJ131:CJ193" si="44">AVERAGE(CE131:CI131)</f>
        <v>3.333333333333333</v>
      </c>
    </row>
    <row r="132" spans="1:88">
      <c r="A132" s="9">
        <v>131</v>
      </c>
      <c r="B132" s="9" t="s">
        <v>151</v>
      </c>
      <c r="C132" s="9" t="s">
        <v>85</v>
      </c>
      <c r="D132" s="9" t="s">
        <v>154</v>
      </c>
      <c r="H132" s="9" t="s">
        <v>65</v>
      </c>
      <c r="I132" s="9" t="s">
        <v>87</v>
      </c>
      <c r="J132" s="9" t="s">
        <v>65</v>
      </c>
      <c r="K132" s="9" t="s">
        <v>323</v>
      </c>
      <c r="N132" s="9" t="s">
        <v>70</v>
      </c>
      <c r="P132" s="10">
        <v>1.5</v>
      </c>
      <c r="Q132" s="10">
        <v>1</v>
      </c>
      <c r="R132" s="10">
        <v>2</v>
      </c>
      <c r="S132" s="10">
        <v>2</v>
      </c>
      <c r="T132" s="10">
        <v>2</v>
      </c>
      <c r="U132" s="10">
        <v>2</v>
      </c>
      <c r="V132" s="10">
        <v>1.75</v>
      </c>
      <c r="W132" s="11">
        <v>2</v>
      </c>
      <c r="X132" s="11">
        <v>2</v>
      </c>
      <c r="Y132" s="11">
        <v>3</v>
      </c>
      <c r="Z132" s="11">
        <v>3</v>
      </c>
      <c r="AA132" s="11">
        <v>2.5</v>
      </c>
      <c r="AB132" s="11">
        <v>3</v>
      </c>
      <c r="AC132" s="11">
        <v>2.5833333333333335</v>
      </c>
      <c r="AD132" s="10">
        <v>2</v>
      </c>
      <c r="AE132" s="10">
        <v>3</v>
      </c>
      <c r="AF132" s="10">
        <v>3</v>
      </c>
      <c r="AG132" s="10">
        <v>4</v>
      </c>
      <c r="AH132" s="10">
        <v>2.5</v>
      </c>
      <c r="AI132" s="10">
        <v>1</v>
      </c>
      <c r="AJ132" s="10">
        <v>2.5833333333333335</v>
      </c>
      <c r="AK132" s="10">
        <v>3</v>
      </c>
      <c r="AL132" s="10">
        <v>3</v>
      </c>
      <c r="AM132" s="10">
        <v>2</v>
      </c>
      <c r="AN132" s="10">
        <v>2.6666666666666665</v>
      </c>
      <c r="AO132" s="10">
        <v>4</v>
      </c>
      <c r="AP132" s="10">
        <v>2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X132" s="9">
        <f t="shared" si="32"/>
        <v>2</v>
      </c>
      <c r="BY132" s="9">
        <f t="shared" si="33"/>
        <v>1</v>
      </c>
      <c r="BZ132" s="9">
        <f t="shared" si="34"/>
        <v>1</v>
      </c>
      <c r="CA132" s="9">
        <f t="shared" si="35"/>
        <v>2</v>
      </c>
      <c r="CB132" s="9">
        <f t="shared" si="36"/>
        <v>4</v>
      </c>
      <c r="CC132" s="9">
        <f t="shared" si="37"/>
        <v>2</v>
      </c>
      <c r="CD132" s="9">
        <f t="shared" si="38"/>
        <v>1</v>
      </c>
      <c r="CE132" s="21">
        <f t="shared" si="39"/>
        <v>2.5833333333333335</v>
      </c>
      <c r="CF132" s="21">
        <f t="shared" si="40"/>
        <v>2.5833333333333335</v>
      </c>
      <c r="CG132" s="21">
        <f t="shared" si="41"/>
        <v>1.75</v>
      </c>
      <c r="CH132" s="21">
        <f t="shared" si="42"/>
        <v>2.6666666666666665</v>
      </c>
      <c r="CI132" s="21">
        <f t="shared" si="43"/>
        <v>2</v>
      </c>
      <c r="CJ132" s="21">
        <f t="shared" si="44"/>
        <v>2.3166666666666669</v>
      </c>
    </row>
    <row r="133" spans="1:88">
      <c r="A133" s="9">
        <v>132</v>
      </c>
      <c r="B133" s="9" t="s">
        <v>151</v>
      </c>
      <c r="C133" s="9" t="s">
        <v>98</v>
      </c>
      <c r="D133" s="9" t="s">
        <v>116</v>
      </c>
      <c r="E133" s="9" t="s">
        <v>126</v>
      </c>
      <c r="H133" s="9" t="s">
        <v>65</v>
      </c>
      <c r="I133" s="9" t="s">
        <v>87</v>
      </c>
      <c r="J133" s="9" t="s">
        <v>69</v>
      </c>
      <c r="K133" s="9" t="s">
        <v>323</v>
      </c>
      <c r="N133" s="9" t="s">
        <v>70</v>
      </c>
      <c r="P133" s="10">
        <v>4</v>
      </c>
      <c r="Q133" s="10">
        <v>4</v>
      </c>
      <c r="R133" s="10">
        <v>3</v>
      </c>
      <c r="S133" s="10">
        <v>4</v>
      </c>
      <c r="T133" s="10">
        <v>4</v>
      </c>
      <c r="U133" s="10">
        <v>3</v>
      </c>
      <c r="V133" s="10">
        <v>3.6666666666666665</v>
      </c>
      <c r="W133" s="11">
        <v>4</v>
      </c>
      <c r="X133" s="11">
        <v>4</v>
      </c>
      <c r="Y133" s="11">
        <v>4</v>
      </c>
      <c r="Z133" s="11">
        <v>5</v>
      </c>
      <c r="AA133" s="11">
        <v>4</v>
      </c>
      <c r="AB133" s="11">
        <v>3</v>
      </c>
      <c r="AC133" s="11">
        <v>4</v>
      </c>
      <c r="AD133" s="10">
        <v>4</v>
      </c>
      <c r="AE133" s="10">
        <v>4</v>
      </c>
      <c r="AF133" s="10">
        <v>4</v>
      </c>
      <c r="AG133" s="10">
        <v>4</v>
      </c>
      <c r="AH133" s="10">
        <v>4</v>
      </c>
      <c r="AI133" s="10">
        <v>4</v>
      </c>
      <c r="AJ133" s="10">
        <v>4</v>
      </c>
      <c r="AK133" s="10">
        <v>4</v>
      </c>
      <c r="AL133" s="10">
        <v>4</v>
      </c>
      <c r="AM133" s="10">
        <v>4</v>
      </c>
      <c r="AN133" s="10">
        <v>4</v>
      </c>
      <c r="AO133" s="10">
        <v>4</v>
      </c>
      <c r="AP133" s="10">
        <v>4.666666666666667</v>
      </c>
      <c r="AQ133" s="12">
        <v>3</v>
      </c>
      <c r="AR133" s="12">
        <v>3</v>
      </c>
      <c r="AS133" s="12">
        <v>3</v>
      </c>
      <c r="AT133" s="12">
        <v>3</v>
      </c>
      <c r="AU133" s="12">
        <v>2</v>
      </c>
      <c r="AV133" s="12">
        <v>2.8</v>
      </c>
      <c r="AW133" s="12">
        <v>3</v>
      </c>
      <c r="AX133" s="12">
        <v>2</v>
      </c>
      <c r="AY133" s="12">
        <v>3</v>
      </c>
      <c r="AZ133" s="12">
        <v>3</v>
      </c>
      <c r="BA133" s="12">
        <v>3</v>
      </c>
      <c r="BB133" s="13">
        <v>52</v>
      </c>
      <c r="BC133" s="13">
        <v>647</v>
      </c>
      <c r="BD133" s="13">
        <v>127</v>
      </c>
      <c r="BE133" s="13">
        <v>0.24</v>
      </c>
      <c r="BF133" s="13" t="s">
        <v>209</v>
      </c>
      <c r="BG133" s="13" t="s">
        <v>326</v>
      </c>
      <c r="BH133" s="13" t="s">
        <v>330</v>
      </c>
      <c r="BX133" s="9">
        <f t="shared" si="32"/>
        <v>3</v>
      </c>
      <c r="BY133" s="9">
        <f t="shared" si="33"/>
        <v>4</v>
      </c>
      <c r="BZ133" s="9">
        <f t="shared" si="34"/>
        <v>3</v>
      </c>
      <c r="CA133" s="9">
        <f t="shared" si="35"/>
        <v>4</v>
      </c>
      <c r="CB133" s="9">
        <f t="shared" si="36"/>
        <v>4</v>
      </c>
      <c r="CC133" s="9">
        <f t="shared" si="37"/>
        <v>4.666666666666667</v>
      </c>
      <c r="CD133" s="9">
        <f t="shared" si="38"/>
        <v>3</v>
      </c>
      <c r="CE133" s="21">
        <f t="shared" si="39"/>
        <v>4</v>
      </c>
      <c r="CF133" s="21">
        <f t="shared" si="40"/>
        <v>4</v>
      </c>
      <c r="CG133" s="21">
        <f t="shared" si="41"/>
        <v>3.6666666666666665</v>
      </c>
      <c r="CH133" s="21">
        <f t="shared" si="42"/>
        <v>4</v>
      </c>
      <c r="CI133" s="21">
        <f t="shared" si="43"/>
        <v>4.666666666666667</v>
      </c>
      <c r="CJ133" s="21">
        <f t="shared" si="44"/>
        <v>4.0666666666666664</v>
      </c>
    </row>
    <row r="134" spans="1:88">
      <c r="A134" s="9">
        <v>133</v>
      </c>
      <c r="B134" s="9" t="s">
        <v>155</v>
      </c>
      <c r="D134" s="9" t="s">
        <v>82</v>
      </c>
      <c r="E134" s="9" t="s">
        <v>78</v>
      </c>
      <c r="F134" s="9" t="s">
        <v>64</v>
      </c>
      <c r="G134" s="9">
        <v>2007</v>
      </c>
      <c r="H134" s="9" t="s">
        <v>65</v>
      </c>
      <c r="I134" s="9" t="s">
        <v>83</v>
      </c>
      <c r="K134" s="9" t="s">
        <v>322</v>
      </c>
      <c r="N134" s="9" t="s">
        <v>70</v>
      </c>
      <c r="P134" s="10">
        <v>2</v>
      </c>
      <c r="Q134" s="10">
        <v>2</v>
      </c>
      <c r="R134" s="10">
        <v>3</v>
      </c>
      <c r="S134" s="10">
        <v>3.5</v>
      </c>
      <c r="T134" s="10">
        <v>3.5</v>
      </c>
      <c r="U134" s="10">
        <v>3</v>
      </c>
      <c r="V134" s="10">
        <v>2.8333333333333335</v>
      </c>
      <c r="W134" s="11">
        <v>1.5</v>
      </c>
      <c r="X134" s="11">
        <v>2</v>
      </c>
      <c r="Y134" s="11">
        <v>3</v>
      </c>
      <c r="Z134" s="11">
        <v>3.5</v>
      </c>
      <c r="AA134" s="11">
        <v>4</v>
      </c>
      <c r="AB134" s="11">
        <v>4</v>
      </c>
      <c r="AC134" s="11">
        <v>3</v>
      </c>
      <c r="AD134" s="10">
        <v>3</v>
      </c>
      <c r="AE134" s="10">
        <v>3</v>
      </c>
      <c r="AF134" s="10">
        <v>4</v>
      </c>
      <c r="AG134" s="10">
        <v>4</v>
      </c>
      <c r="AH134" s="10">
        <v>4</v>
      </c>
      <c r="AI134" s="10">
        <v>4</v>
      </c>
      <c r="AJ134" s="10">
        <v>3.6666666666666665</v>
      </c>
      <c r="AK134" s="10">
        <v>4</v>
      </c>
      <c r="AL134" s="10">
        <v>4</v>
      </c>
      <c r="AM134" s="10">
        <v>5</v>
      </c>
      <c r="AN134" s="10">
        <v>4.333333333333333</v>
      </c>
      <c r="AO134" s="10">
        <v>4</v>
      </c>
      <c r="AP134" s="10">
        <v>4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X134" s="9">
        <f t="shared" si="32"/>
        <v>1.5</v>
      </c>
      <c r="BY134" s="9">
        <f t="shared" si="33"/>
        <v>3</v>
      </c>
      <c r="BZ134" s="9">
        <f t="shared" si="34"/>
        <v>2</v>
      </c>
      <c r="CA134" s="9">
        <f t="shared" si="35"/>
        <v>4</v>
      </c>
      <c r="CB134" s="9">
        <f t="shared" si="36"/>
        <v>4</v>
      </c>
      <c r="CC134" s="9">
        <f t="shared" si="37"/>
        <v>4</v>
      </c>
      <c r="CD134" s="9">
        <f t="shared" si="38"/>
        <v>1.5</v>
      </c>
      <c r="CE134" s="21">
        <f t="shared" si="39"/>
        <v>3</v>
      </c>
      <c r="CF134" s="21">
        <f t="shared" si="40"/>
        <v>3.6666666666666665</v>
      </c>
      <c r="CG134" s="21">
        <f t="shared" si="41"/>
        <v>2.8333333333333335</v>
      </c>
      <c r="CH134" s="21">
        <f t="shared" si="42"/>
        <v>4.333333333333333</v>
      </c>
      <c r="CI134" s="21">
        <f t="shared" si="43"/>
        <v>4</v>
      </c>
      <c r="CJ134" s="21">
        <f t="shared" si="44"/>
        <v>3.5666666666666664</v>
      </c>
    </row>
    <row r="135" spans="1:88">
      <c r="A135" s="9">
        <v>134</v>
      </c>
      <c r="B135" s="9" t="s">
        <v>90</v>
      </c>
      <c r="C135" s="9" t="s">
        <v>156</v>
      </c>
      <c r="D135" s="9" t="s">
        <v>72</v>
      </c>
      <c r="E135" s="9" t="s">
        <v>78</v>
      </c>
      <c r="H135" s="9" t="s">
        <v>65</v>
      </c>
      <c r="I135" s="9" t="s">
        <v>87</v>
      </c>
      <c r="J135" s="9" t="s">
        <v>65</v>
      </c>
      <c r="K135" s="9" t="s">
        <v>323</v>
      </c>
      <c r="N135" s="9" t="s">
        <v>70</v>
      </c>
      <c r="O135" s="9" t="s">
        <v>70</v>
      </c>
      <c r="P135" s="10">
        <v>2</v>
      </c>
      <c r="Q135" s="10">
        <v>2</v>
      </c>
      <c r="R135" s="10">
        <v>2</v>
      </c>
      <c r="S135" s="10">
        <v>3</v>
      </c>
      <c r="T135" s="10">
        <v>3</v>
      </c>
      <c r="U135" s="10">
        <v>1</v>
      </c>
      <c r="V135" s="10">
        <v>2.1666666666666665</v>
      </c>
      <c r="W135" s="11">
        <v>1</v>
      </c>
      <c r="X135" s="11">
        <v>2</v>
      </c>
      <c r="Y135" s="11">
        <v>3</v>
      </c>
      <c r="Z135" s="11">
        <v>3</v>
      </c>
      <c r="AA135" s="11">
        <v>3</v>
      </c>
      <c r="AB135" s="11">
        <v>1</v>
      </c>
      <c r="AC135" s="11">
        <v>2.1666666666666665</v>
      </c>
      <c r="AD135" s="10">
        <v>1</v>
      </c>
      <c r="AE135" s="10">
        <v>1</v>
      </c>
      <c r="AF135" s="10">
        <v>3</v>
      </c>
      <c r="AG135" s="10">
        <v>3</v>
      </c>
      <c r="AH135" s="10">
        <v>3</v>
      </c>
      <c r="AI135" s="10">
        <v>1</v>
      </c>
      <c r="AJ135" s="10">
        <v>2</v>
      </c>
      <c r="AK135" s="10">
        <v>3</v>
      </c>
      <c r="AL135" s="10">
        <v>2</v>
      </c>
      <c r="AM135" s="10">
        <v>3</v>
      </c>
      <c r="AN135" s="10">
        <v>2.6666666666666665</v>
      </c>
      <c r="AO135" s="10">
        <v>1</v>
      </c>
      <c r="AP135" s="10">
        <v>2.6666666666666665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X135" s="9">
        <f t="shared" si="32"/>
        <v>1</v>
      </c>
      <c r="BY135" s="9">
        <f t="shared" si="33"/>
        <v>1</v>
      </c>
      <c r="BZ135" s="9">
        <f t="shared" si="34"/>
        <v>1</v>
      </c>
      <c r="CA135" s="9">
        <f t="shared" si="35"/>
        <v>2</v>
      </c>
      <c r="CB135" s="9">
        <f t="shared" si="36"/>
        <v>1</v>
      </c>
      <c r="CC135" s="9">
        <f t="shared" si="37"/>
        <v>2.6666666666666665</v>
      </c>
      <c r="CD135" s="9">
        <f t="shared" si="38"/>
        <v>1</v>
      </c>
      <c r="CE135" s="21">
        <f t="shared" si="39"/>
        <v>2.1666666666666665</v>
      </c>
      <c r="CF135" s="21">
        <f t="shared" si="40"/>
        <v>2</v>
      </c>
      <c r="CG135" s="21">
        <f t="shared" si="41"/>
        <v>2.1666666666666665</v>
      </c>
      <c r="CH135" s="21">
        <f t="shared" si="42"/>
        <v>2.6666666666666665</v>
      </c>
      <c r="CI135" s="21">
        <f t="shared" si="43"/>
        <v>2.6666666666666665</v>
      </c>
      <c r="CJ135" s="21">
        <f t="shared" si="44"/>
        <v>2.333333333333333</v>
      </c>
    </row>
    <row r="136" spans="1:88">
      <c r="A136" s="9">
        <v>135</v>
      </c>
      <c r="B136" s="9" t="s">
        <v>114</v>
      </c>
      <c r="C136" s="9" t="s">
        <v>153</v>
      </c>
      <c r="D136" s="9" t="s">
        <v>157</v>
      </c>
      <c r="H136" s="9" t="s">
        <v>65</v>
      </c>
      <c r="I136" s="9" t="s">
        <v>87</v>
      </c>
      <c r="J136" s="9" t="s">
        <v>69</v>
      </c>
      <c r="K136" s="9" t="s">
        <v>323</v>
      </c>
      <c r="N136" s="9" t="s">
        <v>70</v>
      </c>
      <c r="P136" s="10">
        <v>2.5</v>
      </c>
      <c r="Q136" s="10">
        <v>4</v>
      </c>
      <c r="R136" s="10">
        <v>2</v>
      </c>
      <c r="S136" s="10">
        <v>4</v>
      </c>
      <c r="T136" s="10">
        <v>4</v>
      </c>
      <c r="U136" s="10">
        <v>2</v>
      </c>
      <c r="V136" s="10">
        <v>3.8333333333333002</v>
      </c>
      <c r="W136" s="11">
        <v>3</v>
      </c>
      <c r="X136" s="11">
        <v>3</v>
      </c>
      <c r="Y136" s="11">
        <v>4</v>
      </c>
      <c r="Z136" s="11">
        <v>4</v>
      </c>
      <c r="AA136" s="11">
        <v>3.5</v>
      </c>
      <c r="AB136" s="11">
        <v>3</v>
      </c>
      <c r="AC136" s="11">
        <v>3.4166666666666665</v>
      </c>
      <c r="AD136" s="10">
        <v>2.5</v>
      </c>
      <c r="AE136" s="10">
        <v>4</v>
      </c>
      <c r="AF136" s="10">
        <v>3</v>
      </c>
      <c r="AG136" s="10">
        <v>4</v>
      </c>
      <c r="AH136" s="10">
        <v>4</v>
      </c>
      <c r="AI136" s="10">
        <v>2</v>
      </c>
      <c r="AJ136" s="10">
        <v>3.25</v>
      </c>
      <c r="AK136" s="10">
        <v>3</v>
      </c>
      <c r="AL136" s="10">
        <v>3</v>
      </c>
      <c r="AM136" s="10">
        <v>2</v>
      </c>
      <c r="AN136" s="10">
        <v>2.6666666666666665</v>
      </c>
      <c r="AO136" s="10"/>
      <c r="AP136" s="10">
        <v>2.75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X136" s="9">
        <f t="shared" si="32"/>
        <v>3</v>
      </c>
      <c r="BY136" s="9">
        <f t="shared" si="33"/>
        <v>2</v>
      </c>
      <c r="BZ136" s="9">
        <f t="shared" si="34"/>
        <v>2</v>
      </c>
      <c r="CA136" s="9">
        <f t="shared" si="35"/>
        <v>2</v>
      </c>
      <c r="CB136" s="9">
        <f t="shared" si="36"/>
        <v>0</v>
      </c>
      <c r="CC136" s="9">
        <f t="shared" si="37"/>
        <v>2.75</v>
      </c>
      <c r="CD136" s="9">
        <f t="shared" si="38"/>
        <v>0</v>
      </c>
      <c r="CE136" s="21">
        <f t="shared" si="39"/>
        <v>3.4166666666666665</v>
      </c>
      <c r="CF136" s="21">
        <f t="shared" si="40"/>
        <v>3.25</v>
      </c>
      <c r="CG136" s="21">
        <f t="shared" si="41"/>
        <v>3.8333333333333002</v>
      </c>
      <c r="CH136" s="21">
        <f t="shared" si="42"/>
        <v>2.6666666666666665</v>
      </c>
      <c r="CI136" s="21">
        <f t="shared" si="43"/>
        <v>2.75</v>
      </c>
      <c r="CJ136" s="21">
        <f t="shared" si="44"/>
        <v>3.1833333333333265</v>
      </c>
    </row>
    <row r="137" spans="1:88">
      <c r="A137" s="9">
        <v>136</v>
      </c>
      <c r="B137" s="9" t="s">
        <v>79</v>
      </c>
      <c r="C137" s="9" t="s">
        <v>98</v>
      </c>
      <c r="D137" s="9" t="s">
        <v>158</v>
      </c>
      <c r="E137" s="9" t="s">
        <v>74</v>
      </c>
      <c r="F137" s="9" t="s">
        <v>78</v>
      </c>
      <c r="H137" s="9" t="s">
        <v>65</v>
      </c>
      <c r="I137" s="9" t="s">
        <v>87</v>
      </c>
      <c r="J137" s="9" t="s">
        <v>65</v>
      </c>
      <c r="K137" s="9" t="s">
        <v>92</v>
      </c>
      <c r="O137" s="9" t="s">
        <v>70</v>
      </c>
      <c r="P137" s="10">
        <v>4</v>
      </c>
      <c r="Q137" s="10">
        <v>3</v>
      </c>
      <c r="R137" s="10">
        <v>3</v>
      </c>
      <c r="S137" s="10">
        <v>3</v>
      </c>
      <c r="T137" s="10">
        <v>2.5</v>
      </c>
      <c r="U137" s="10">
        <v>2</v>
      </c>
      <c r="V137" s="10">
        <v>2.9166666666666665</v>
      </c>
      <c r="W137" s="11">
        <v>4.5</v>
      </c>
      <c r="X137" s="11">
        <v>4</v>
      </c>
      <c r="Y137" s="11">
        <v>1</v>
      </c>
      <c r="Z137" s="11">
        <v>4</v>
      </c>
      <c r="AA137" s="11">
        <v>4</v>
      </c>
      <c r="AB137" s="11">
        <v>2</v>
      </c>
      <c r="AC137" s="11">
        <v>3.25</v>
      </c>
      <c r="AD137" s="10">
        <v>4</v>
      </c>
      <c r="AE137" s="10">
        <v>4</v>
      </c>
      <c r="AF137" s="10">
        <v>4</v>
      </c>
      <c r="AG137" s="10">
        <v>4</v>
      </c>
      <c r="AH137" s="10">
        <v>4</v>
      </c>
      <c r="AI137" s="10">
        <v>3</v>
      </c>
      <c r="AJ137" s="10">
        <v>3.8333333333333335</v>
      </c>
      <c r="AK137" s="10">
        <v>3</v>
      </c>
      <c r="AL137" s="10">
        <v>4</v>
      </c>
      <c r="AM137" s="10">
        <v>3</v>
      </c>
      <c r="AN137" s="10">
        <v>3.3333333333333335</v>
      </c>
      <c r="AO137" s="10">
        <v>2.5</v>
      </c>
      <c r="AP137" s="10">
        <v>3.8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X137" s="9">
        <f t="shared" si="32"/>
        <v>1</v>
      </c>
      <c r="BY137" s="9">
        <f t="shared" si="33"/>
        <v>3</v>
      </c>
      <c r="BZ137" s="9">
        <f t="shared" si="34"/>
        <v>2</v>
      </c>
      <c r="CA137" s="9">
        <f t="shared" si="35"/>
        <v>3</v>
      </c>
      <c r="CB137" s="9">
        <f t="shared" si="36"/>
        <v>2.5</v>
      </c>
      <c r="CC137" s="9">
        <f t="shared" si="37"/>
        <v>3.8</v>
      </c>
      <c r="CD137" s="9">
        <f t="shared" si="38"/>
        <v>1</v>
      </c>
      <c r="CE137" s="21">
        <f t="shared" si="39"/>
        <v>3.25</v>
      </c>
      <c r="CF137" s="21">
        <f t="shared" si="40"/>
        <v>3.8333333333333335</v>
      </c>
      <c r="CG137" s="21">
        <f t="shared" si="41"/>
        <v>2.9166666666666665</v>
      </c>
      <c r="CH137" s="21">
        <f t="shared" si="42"/>
        <v>3.3333333333333335</v>
      </c>
      <c r="CI137" s="21">
        <f t="shared" si="43"/>
        <v>3.8</v>
      </c>
      <c r="CJ137" s="21">
        <f t="shared" si="44"/>
        <v>3.4266666666666667</v>
      </c>
    </row>
    <row r="138" spans="1:88">
      <c r="A138" s="9">
        <v>137</v>
      </c>
      <c r="B138" s="9" t="s">
        <v>159</v>
      </c>
      <c r="C138" s="9" t="s">
        <v>134</v>
      </c>
      <c r="D138" s="9" t="s">
        <v>75</v>
      </c>
      <c r="E138" s="9" t="s">
        <v>63</v>
      </c>
      <c r="F138" s="9" t="s">
        <v>78</v>
      </c>
      <c r="H138" s="9" t="s">
        <v>65</v>
      </c>
      <c r="I138" s="9" t="s">
        <v>87</v>
      </c>
      <c r="K138" s="9" t="s">
        <v>322</v>
      </c>
      <c r="N138" s="9" t="s">
        <v>70</v>
      </c>
      <c r="O138" s="9" t="s">
        <v>70</v>
      </c>
      <c r="P138" s="10">
        <v>3</v>
      </c>
      <c r="Q138" s="10">
        <v>3</v>
      </c>
      <c r="R138" s="10">
        <v>2</v>
      </c>
      <c r="S138" s="10">
        <v>3</v>
      </c>
      <c r="T138" s="10">
        <v>3</v>
      </c>
      <c r="U138" s="10">
        <v>3</v>
      </c>
      <c r="V138" s="10">
        <v>2.8333333333333335</v>
      </c>
      <c r="W138" s="11">
        <v>4</v>
      </c>
      <c r="X138" s="11">
        <v>4</v>
      </c>
      <c r="Y138" s="11">
        <v>3</v>
      </c>
      <c r="Z138" s="11">
        <v>4</v>
      </c>
      <c r="AA138" s="11">
        <v>4</v>
      </c>
      <c r="AB138" s="11">
        <v>4</v>
      </c>
      <c r="AC138" s="11">
        <v>3.8333333333333335</v>
      </c>
      <c r="AD138" s="10">
        <v>1</v>
      </c>
      <c r="AE138" s="10">
        <v>1</v>
      </c>
      <c r="AF138" s="10">
        <v>1</v>
      </c>
      <c r="AG138" s="10">
        <v>1</v>
      </c>
      <c r="AH138" s="10">
        <v>1</v>
      </c>
      <c r="AI138" s="10">
        <v>1</v>
      </c>
      <c r="AJ138" s="10">
        <v>1</v>
      </c>
      <c r="AK138" s="10"/>
      <c r="AL138" s="10"/>
      <c r="AM138" s="10"/>
      <c r="AN138" s="10"/>
      <c r="AO138" s="10">
        <v>3</v>
      </c>
      <c r="AP138" s="10">
        <v>3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X138" s="9">
        <f t="shared" si="32"/>
        <v>3</v>
      </c>
      <c r="BY138" s="9">
        <f t="shared" si="33"/>
        <v>1</v>
      </c>
      <c r="BZ138" s="9">
        <f t="shared" si="34"/>
        <v>2</v>
      </c>
      <c r="CA138" s="9">
        <f t="shared" si="35"/>
        <v>0</v>
      </c>
      <c r="CB138" s="9">
        <f t="shared" si="36"/>
        <v>3</v>
      </c>
      <c r="CC138" s="9">
        <f t="shared" si="37"/>
        <v>3</v>
      </c>
      <c r="CD138" s="9">
        <f t="shared" si="38"/>
        <v>0</v>
      </c>
      <c r="CE138" s="21">
        <f t="shared" si="39"/>
        <v>3.8333333333333335</v>
      </c>
      <c r="CF138" s="21">
        <f t="shared" si="40"/>
        <v>1</v>
      </c>
      <c r="CG138" s="21">
        <f t="shared" si="41"/>
        <v>2.8333333333333335</v>
      </c>
      <c r="CH138" s="21">
        <f t="shared" si="42"/>
        <v>0</v>
      </c>
      <c r="CI138" s="21">
        <f t="shared" si="43"/>
        <v>3</v>
      </c>
      <c r="CJ138" s="21">
        <f t="shared" si="44"/>
        <v>2.1333333333333337</v>
      </c>
    </row>
    <row r="139" spans="1:88">
      <c r="A139" s="9">
        <v>138</v>
      </c>
      <c r="B139" s="9" t="s">
        <v>95</v>
      </c>
      <c r="D139" s="9" t="s">
        <v>160</v>
      </c>
      <c r="E139" s="9" t="s">
        <v>126</v>
      </c>
      <c r="F139" s="9" t="s">
        <v>78</v>
      </c>
      <c r="G139" s="9">
        <v>2022</v>
      </c>
      <c r="H139" s="9" t="s">
        <v>65</v>
      </c>
      <c r="I139" s="9" t="s">
        <v>65</v>
      </c>
      <c r="K139" s="9" t="s">
        <v>322</v>
      </c>
      <c r="P139" s="10">
        <v>5</v>
      </c>
      <c r="Q139" s="10">
        <v>5</v>
      </c>
      <c r="R139" s="10">
        <v>5</v>
      </c>
      <c r="S139" s="10">
        <v>5</v>
      </c>
      <c r="T139" s="10">
        <v>5</v>
      </c>
      <c r="U139" s="10">
        <v>5</v>
      </c>
      <c r="V139" s="10">
        <v>5</v>
      </c>
      <c r="W139" s="11">
        <v>5</v>
      </c>
      <c r="X139" s="11">
        <v>5</v>
      </c>
      <c r="Y139" s="11">
        <v>5</v>
      </c>
      <c r="Z139" s="11">
        <v>5</v>
      </c>
      <c r="AA139" s="11">
        <v>5</v>
      </c>
      <c r="AB139" s="11">
        <v>5</v>
      </c>
      <c r="AC139" s="11">
        <v>5</v>
      </c>
      <c r="AD139" s="10">
        <v>4.5</v>
      </c>
      <c r="AE139" s="10">
        <v>5</v>
      </c>
      <c r="AF139" s="10">
        <v>5</v>
      </c>
      <c r="AG139" s="10">
        <v>5</v>
      </c>
      <c r="AH139" s="10">
        <v>5</v>
      </c>
      <c r="AI139" s="10">
        <v>5</v>
      </c>
      <c r="AJ139" s="10">
        <v>4.916666666666667</v>
      </c>
      <c r="AK139" s="10">
        <v>4</v>
      </c>
      <c r="AL139" s="10">
        <v>4</v>
      </c>
      <c r="AM139" s="10"/>
      <c r="AN139" s="10">
        <v>4</v>
      </c>
      <c r="AO139" s="10"/>
      <c r="AP139" s="10">
        <v>4.25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X139" s="9">
        <f t="shared" si="32"/>
        <v>5</v>
      </c>
      <c r="BY139" s="9">
        <f t="shared" si="33"/>
        <v>4.5</v>
      </c>
      <c r="BZ139" s="9">
        <f t="shared" si="34"/>
        <v>5</v>
      </c>
      <c r="CA139" s="9">
        <f t="shared" si="35"/>
        <v>4</v>
      </c>
      <c r="CB139" s="9">
        <f t="shared" si="36"/>
        <v>0</v>
      </c>
      <c r="CC139" s="9">
        <f t="shared" si="37"/>
        <v>4.25</v>
      </c>
      <c r="CD139" s="9">
        <f t="shared" si="38"/>
        <v>0</v>
      </c>
      <c r="CE139" s="21">
        <f t="shared" si="39"/>
        <v>5</v>
      </c>
      <c r="CF139" s="21">
        <f t="shared" si="40"/>
        <v>4.916666666666667</v>
      </c>
      <c r="CG139" s="21">
        <f t="shared" si="41"/>
        <v>5</v>
      </c>
      <c r="CH139" s="21">
        <f t="shared" si="42"/>
        <v>4</v>
      </c>
      <c r="CI139" s="21">
        <f t="shared" si="43"/>
        <v>4.25</v>
      </c>
      <c r="CJ139" s="21">
        <f t="shared" si="44"/>
        <v>4.6333333333333337</v>
      </c>
    </row>
    <row r="140" spans="1:88">
      <c r="A140" s="9">
        <v>139</v>
      </c>
      <c r="B140" s="9" t="s">
        <v>95</v>
      </c>
      <c r="D140" s="9" t="s">
        <v>127</v>
      </c>
      <c r="E140" s="9" t="s">
        <v>78</v>
      </c>
      <c r="F140" s="9" t="s">
        <v>78</v>
      </c>
      <c r="G140" s="9">
        <v>2016</v>
      </c>
      <c r="H140" s="9" t="s">
        <v>65</v>
      </c>
      <c r="I140" s="9" t="s">
        <v>65</v>
      </c>
      <c r="K140" s="9" t="s">
        <v>322</v>
      </c>
      <c r="O140" s="9" t="s">
        <v>70</v>
      </c>
      <c r="P140" s="10">
        <v>2.5</v>
      </c>
      <c r="Q140" s="10">
        <v>4</v>
      </c>
      <c r="R140" s="10">
        <v>1</v>
      </c>
      <c r="S140" s="10">
        <v>4</v>
      </c>
      <c r="T140" s="10">
        <v>2.5</v>
      </c>
      <c r="U140" s="10">
        <v>3</v>
      </c>
      <c r="V140" s="10">
        <v>2.8333333333333335</v>
      </c>
      <c r="W140" s="11">
        <v>1</v>
      </c>
      <c r="X140" s="11">
        <v>1</v>
      </c>
      <c r="Y140" s="11">
        <v>3</v>
      </c>
      <c r="Z140" s="11">
        <v>4</v>
      </c>
      <c r="AA140" s="11">
        <v>3.5</v>
      </c>
      <c r="AB140" s="11">
        <v>1</v>
      </c>
      <c r="AC140" s="11">
        <v>2.25</v>
      </c>
      <c r="AD140" s="10"/>
      <c r="AE140" s="10"/>
      <c r="AF140" s="10"/>
      <c r="AG140" s="10"/>
      <c r="AH140" s="10"/>
      <c r="AI140" s="10"/>
      <c r="AJ140" s="10">
        <v>2</v>
      </c>
      <c r="AK140" s="10">
        <v>1</v>
      </c>
      <c r="AL140" s="10">
        <v>4</v>
      </c>
      <c r="AM140" s="10"/>
      <c r="AN140" s="10">
        <v>2.5</v>
      </c>
      <c r="AO140" s="10"/>
      <c r="AP140" s="10">
        <v>4</v>
      </c>
      <c r="AQ140" s="12">
        <v>1</v>
      </c>
      <c r="AR140" s="12">
        <v>1</v>
      </c>
      <c r="AS140" s="12">
        <v>1</v>
      </c>
      <c r="AT140" s="12">
        <v>2</v>
      </c>
      <c r="AU140" s="12">
        <v>2</v>
      </c>
      <c r="AV140" s="12">
        <v>1.4</v>
      </c>
      <c r="AW140" s="12">
        <v>1</v>
      </c>
      <c r="AX140" s="12">
        <v>3</v>
      </c>
      <c r="AY140" s="12">
        <v>2</v>
      </c>
      <c r="AZ140" s="12">
        <v>3</v>
      </c>
      <c r="BA140" s="12">
        <v>2</v>
      </c>
      <c r="BB140" s="13">
        <v>22</v>
      </c>
      <c r="BC140" s="13">
        <v>331</v>
      </c>
      <c r="BD140" s="13">
        <v>129</v>
      </c>
      <c r="BE140" s="13">
        <v>0.64</v>
      </c>
      <c r="BX140" s="9">
        <f t="shared" si="32"/>
        <v>1</v>
      </c>
      <c r="BY140" s="9">
        <f t="shared" si="33"/>
        <v>2</v>
      </c>
      <c r="BZ140" s="9">
        <f t="shared" si="34"/>
        <v>1</v>
      </c>
      <c r="CA140" s="9">
        <f t="shared" si="35"/>
        <v>1</v>
      </c>
      <c r="CB140" s="9">
        <f t="shared" si="36"/>
        <v>0</v>
      </c>
      <c r="CC140" s="9">
        <f t="shared" si="37"/>
        <v>4</v>
      </c>
      <c r="CD140" s="9">
        <f t="shared" si="38"/>
        <v>0</v>
      </c>
      <c r="CE140" s="21">
        <f t="shared" si="39"/>
        <v>2.25</v>
      </c>
      <c r="CF140" s="21">
        <f t="shared" si="40"/>
        <v>2</v>
      </c>
      <c r="CG140" s="21">
        <f t="shared" si="41"/>
        <v>2.8333333333333335</v>
      </c>
      <c r="CH140" s="21">
        <f t="shared" si="42"/>
        <v>2.5</v>
      </c>
      <c r="CI140" s="21">
        <f t="shared" si="43"/>
        <v>4</v>
      </c>
      <c r="CJ140" s="21">
        <f t="shared" si="44"/>
        <v>2.7166666666666668</v>
      </c>
    </row>
    <row r="141" spans="1:88">
      <c r="A141" s="9">
        <v>140</v>
      </c>
      <c r="B141" s="9" t="s">
        <v>161</v>
      </c>
      <c r="C141" s="9" t="s">
        <v>162</v>
      </c>
      <c r="D141" s="9" t="s">
        <v>163</v>
      </c>
      <c r="E141" s="9" t="s">
        <v>78</v>
      </c>
      <c r="F141" s="9" t="s">
        <v>78</v>
      </c>
      <c r="H141" s="9" t="s">
        <v>65</v>
      </c>
      <c r="I141" s="9" t="s">
        <v>83</v>
      </c>
      <c r="J141" s="9" t="s">
        <v>65</v>
      </c>
      <c r="K141" s="9" t="s">
        <v>323</v>
      </c>
      <c r="N141" s="9" t="s">
        <v>70</v>
      </c>
      <c r="P141" s="10">
        <v>4</v>
      </c>
      <c r="Q141" s="10">
        <v>4</v>
      </c>
      <c r="R141" s="10">
        <v>3</v>
      </c>
      <c r="S141" s="10">
        <v>3</v>
      </c>
      <c r="T141" s="10">
        <v>3</v>
      </c>
      <c r="U141" s="10">
        <v>3</v>
      </c>
      <c r="V141" s="10">
        <v>3.3333333333333335</v>
      </c>
      <c r="W141" s="11">
        <v>3.5</v>
      </c>
      <c r="X141" s="11">
        <v>4</v>
      </c>
      <c r="Y141" s="11">
        <v>4</v>
      </c>
      <c r="Z141" s="11">
        <v>4</v>
      </c>
      <c r="AA141" s="11">
        <v>4</v>
      </c>
      <c r="AB141" s="11">
        <v>3</v>
      </c>
      <c r="AC141" s="11">
        <v>3.75</v>
      </c>
      <c r="AD141" s="10"/>
      <c r="AE141" s="10"/>
      <c r="AF141" s="10"/>
      <c r="AG141" s="10"/>
      <c r="AH141" s="10"/>
      <c r="AI141" s="10"/>
      <c r="AJ141" s="10">
        <v>4</v>
      </c>
      <c r="AK141" s="10">
        <v>4</v>
      </c>
      <c r="AL141" s="10">
        <v>4</v>
      </c>
      <c r="AM141" s="10">
        <v>4</v>
      </c>
      <c r="AN141" s="10">
        <v>4</v>
      </c>
      <c r="AO141" s="10"/>
      <c r="AP141" s="10">
        <v>4.75</v>
      </c>
      <c r="AQ141" s="12">
        <v>1</v>
      </c>
      <c r="AR141" s="12">
        <v>3</v>
      </c>
      <c r="AS141" s="12">
        <v>2</v>
      </c>
      <c r="AT141" s="12">
        <v>3</v>
      </c>
      <c r="AU141" s="12">
        <v>2.5</v>
      </c>
      <c r="AV141" s="12">
        <v>2.2999999999999998</v>
      </c>
      <c r="AW141" s="12">
        <v>2</v>
      </c>
      <c r="AX141" s="12">
        <v>1</v>
      </c>
      <c r="AY141" s="12">
        <v>1</v>
      </c>
      <c r="AZ141" s="12">
        <v>3</v>
      </c>
      <c r="BA141" s="12">
        <v>1</v>
      </c>
      <c r="BB141" s="13">
        <v>61</v>
      </c>
      <c r="BC141" s="13">
        <v>15</v>
      </c>
      <c r="BD141" s="13">
        <v>44</v>
      </c>
      <c r="BE141" s="13">
        <v>0.67</v>
      </c>
      <c r="BX141" s="9">
        <f t="shared" si="32"/>
        <v>3</v>
      </c>
      <c r="BY141" s="9">
        <f t="shared" si="33"/>
        <v>4</v>
      </c>
      <c r="BZ141" s="9">
        <f t="shared" si="34"/>
        <v>3</v>
      </c>
      <c r="CA141" s="9">
        <f t="shared" si="35"/>
        <v>4</v>
      </c>
      <c r="CB141" s="9">
        <f t="shared" si="36"/>
        <v>0</v>
      </c>
      <c r="CC141" s="9">
        <f t="shared" si="37"/>
        <v>4.75</v>
      </c>
      <c r="CD141" s="9">
        <f t="shared" si="38"/>
        <v>0</v>
      </c>
      <c r="CE141" s="21">
        <f t="shared" si="39"/>
        <v>3.75</v>
      </c>
      <c r="CF141" s="21">
        <f t="shared" si="40"/>
        <v>4</v>
      </c>
      <c r="CG141" s="21">
        <f t="shared" si="41"/>
        <v>3.3333333333333335</v>
      </c>
      <c r="CH141" s="21">
        <f t="shared" si="42"/>
        <v>4</v>
      </c>
      <c r="CI141" s="21">
        <f t="shared" si="43"/>
        <v>4.75</v>
      </c>
      <c r="CJ141" s="21">
        <f t="shared" si="44"/>
        <v>3.9666666666666672</v>
      </c>
    </row>
    <row r="142" spans="1:88">
      <c r="A142" s="9">
        <v>141</v>
      </c>
      <c r="B142" s="9" t="s">
        <v>161</v>
      </c>
      <c r="C142" s="9" t="s">
        <v>164</v>
      </c>
      <c r="D142" s="9" t="s">
        <v>75</v>
      </c>
      <c r="E142" s="9" t="s">
        <v>74</v>
      </c>
      <c r="F142" s="9" t="s">
        <v>64</v>
      </c>
      <c r="H142" s="9" t="s">
        <v>65</v>
      </c>
      <c r="I142" s="9" t="s">
        <v>65</v>
      </c>
      <c r="J142" s="9" t="s">
        <v>65</v>
      </c>
      <c r="K142" s="9" t="s">
        <v>323</v>
      </c>
      <c r="N142" s="9" t="s">
        <v>70</v>
      </c>
      <c r="O142" s="9" t="s">
        <v>70</v>
      </c>
      <c r="P142" s="10">
        <v>4.5</v>
      </c>
      <c r="Q142" s="10">
        <v>5</v>
      </c>
      <c r="R142" s="10">
        <v>4</v>
      </c>
      <c r="S142" s="10">
        <v>5</v>
      </c>
      <c r="T142" s="10">
        <v>5</v>
      </c>
      <c r="U142" s="10">
        <v>4</v>
      </c>
      <c r="V142" s="10">
        <v>4.583333333333333</v>
      </c>
      <c r="W142" s="11">
        <v>5</v>
      </c>
      <c r="X142" s="11">
        <v>5</v>
      </c>
      <c r="Y142" s="11">
        <v>5</v>
      </c>
      <c r="Z142" s="11">
        <v>5</v>
      </c>
      <c r="AA142" s="11">
        <v>5</v>
      </c>
      <c r="AB142" s="11">
        <v>5</v>
      </c>
      <c r="AC142" s="11">
        <v>5</v>
      </c>
      <c r="AD142" s="10"/>
      <c r="AE142" s="10"/>
      <c r="AF142" s="10"/>
      <c r="AG142" s="10"/>
      <c r="AH142" s="10"/>
      <c r="AI142" s="10"/>
      <c r="AJ142" s="10">
        <v>5</v>
      </c>
      <c r="AK142" s="10">
        <v>5</v>
      </c>
      <c r="AL142" s="10">
        <v>5</v>
      </c>
      <c r="AM142" s="10"/>
      <c r="AN142" s="10">
        <v>5</v>
      </c>
      <c r="AO142" s="10"/>
      <c r="AP142" s="10">
        <v>5</v>
      </c>
      <c r="AQ142" s="12">
        <v>3</v>
      </c>
      <c r="AR142" s="12">
        <v>3</v>
      </c>
      <c r="AS142" s="12">
        <v>1</v>
      </c>
      <c r="AT142" s="12">
        <v>3</v>
      </c>
      <c r="AU142" s="12">
        <v>3</v>
      </c>
      <c r="AV142" s="12">
        <v>2.6</v>
      </c>
      <c r="AW142" s="12">
        <v>3</v>
      </c>
      <c r="AX142" s="12">
        <v>2</v>
      </c>
      <c r="AY142" s="12">
        <v>3</v>
      </c>
      <c r="AZ142" s="12">
        <v>3</v>
      </c>
      <c r="BA142" s="12">
        <v>1</v>
      </c>
      <c r="BB142" s="13">
        <v>322</v>
      </c>
      <c r="BC142" s="13">
        <v>454</v>
      </c>
      <c r="BD142" s="13">
        <v>132</v>
      </c>
      <c r="BE142" s="13">
        <v>0.41</v>
      </c>
      <c r="BF142" s="13" t="s">
        <v>217</v>
      </c>
      <c r="BG142" s="13" t="s">
        <v>324</v>
      </c>
      <c r="BH142" s="13" t="s">
        <v>327</v>
      </c>
      <c r="BI142" s="13" t="s">
        <v>334</v>
      </c>
      <c r="BX142" s="9">
        <f t="shared" si="32"/>
        <v>5</v>
      </c>
      <c r="BY142" s="9">
        <f t="shared" si="33"/>
        <v>5</v>
      </c>
      <c r="BZ142" s="9">
        <f t="shared" si="34"/>
        <v>4</v>
      </c>
      <c r="CA142" s="9">
        <f t="shared" si="35"/>
        <v>5</v>
      </c>
      <c r="CB142" s="9">
        <f t="shared" si="36"/>
        <v>0</v>
      </c>
      <c r="CC142" s="9">
        <f t="shared" si="37"/>
        <v>5</v>
      </c>
      <c r="CD142" s="9">
        <f t="shared" si="38"/>
        <v>0</v>
      </c>
      <c r="CE142" s="21">
        <f t="shared" si="39"/>
        <v>5</v>
      </c>
      <c r="CF142" s="21">
        <f t="shared" si="40"/>
        <v>5</v>
      </c>
      <c r="CG142" s="21">
        <f t="shared" si="41"/>
        <v>4.583333333333333</v>
      </c>
      <c r="CH142" s="21">
        <f t="shared" si="42"/>
        <v>5</v>
      </c>
      <c r="CI142" s="21">
        <f t="shared" si="43"/>
        <v>5</v>
      </c>
      <c r="CJ142" s="21">
        <f t="shared" si="44"/>
        <v>4.9166666666666661</v>
      </c>
    </row>
    <row r="143" spans="1:88">
      <c r="A143" s="9">
        <v>142</v>
      </c>
      <c r="B143" s="9" t="s">
        <v>161</v>
      </c>
      <c r="C143" s="9" t="s">
        <v>165</v>
      </c>
      <c r="D143" s="9" t="s">
        <v>96</v>
      </c>
      <c r="E143" s="9" t="s">
        <v>68</v>
      </c>
      <c r="F143" s="9" t="s">
        <v>64</v>
      </c>
      <c r="H143" s="9" t="s">
        <v>65</v>
      </c>
      <c r="I143" s="9" t="s">
        <v>83</v>
      </c>
      <c r="J143" s="9" t="s">
        <v>65</v>
      </c>
      <c r="K143" s="9" t="s">
        <v>323</v>
      </c>
      <c r="N143" s="9" t="s">
        <v>70</v>
      </c>
      <c r="P143" s="10">
        <v>4</v>
      </c>
      <c r="Q143" s="10">
        <v>5</v>
      </c>
      <c r="R143" s="10">
        <v>4</v>
      </c>
      <c r="S143" s="10">
        <v>5</v>
      </c>
      <c r="T143" s="10">
        <v>4.5</v>
      </c>
      <c r="U143" s="10">
        <v>3</v>
      </c>
      <c r="V143" s="10">
        <v>4.25</v>
      </c>
      <c r="W143" s="11">
        <v>4.5</v>
      </c>
      <c r="X143" s="11">
        <v>5</v>
      </c>
      <c r="Y143" s="11">
        <v>5</v>
      </c>
      <c r="Z143" s="11">
        <v>5</v>
      </c>
      <c r="AA143" s="11">
        <v>5</v>
      </c>
      <c r="AB143" s="11">
        <v>5</v>
      </c>
      <c r="AC143" s="11">
        <v>4.916666666666667</v>
      </c>
      <c r="AD143" s="10"/>
      <c r="AE143" s="10"/>
      <c r="AF143" s="10"/>
      <c r="AG143" s="10"/>
      <c r="AH143" s="10"/>
      <c r="AI143" s="10"/>
      <c r="AJ143" s="10">
        <v>5</v>
      </c>
      <c r="AK143" s="10">
        <v>5</v>
      </c>
      <c r="AL143" s="10">
        <v>5</v>
      </c>
      <c r="AM143" s="10">
        <v>5</v>
      </c>
      <c r="AN143" s="10">
        <v>5</v>
      </c>
      <c r="AO143" s="10"/>
      <c r="AP143" s="10">
        <v>3.3333333333333335</v>
      </c>
      <c r="AQ143" s="12">
        <v>3</v>
      </c>
      <c r="AR143" s="12">
        <v>2</v>
      </c>
      <c r="AS143" s="12">
        <v>3</v>
      </c>
      <c r="AT143" s="12">
        <v>3</v>
      </c>
      <c r="AU143" s="12">
        <v>2</v>
      </c>
      <c r="AV143" s="12">
        <v>2.6</v>
      </c>
      <c r="AW143" s="12">
        <v>3</v>
      </c>
      <c r="AX143" s="12">
        <v>2</v>
      </c>
      <c r="AY143" s="12">
        <v>3</v>
      </c>
      <c r="AZ143" s="12">
        <v>3</v>
      </c>
      <c r="BA143" s="12">
        <v>3</v>
      </c>
      <c r="BB143" s="13">
        <v>569</v>
      </c>
      <c r="BC143" s="13">
        <v>95</v>
      </c>
      <c r="BD143" s="13">
        <v>336</v>
      </c>
      <c r="BE143" s="13">
        <v>0.59</v>
      </c>
      <c r="BX143" s="9">
        <f t="shared" si="32"/>
        <v>4.5</v>
      </c>
      <c r="BY143" s="9">
        <f t="shared" si="33"/>
        <v>5</v>
      </c>
      <c r="BZ143" s="9">
        <f t="shared" si="34"/>
        <v>3</v>
      </c>
      <c r="CA143" s="9">
        <f t="shared" si="35"/>
        <v>5</v>
      </c>
      <c r="CB143" s="9">
        <f t="shared" si="36"/>
        <v>0</v>
      </c>
      <c r="CC143" s="9">
        <f t="shared" si="37"/>
        <v>3.3333333333333335</v>
      </c>
      <c r="CD143" s="9">
        <f t="shared" si="38"/>
        <v>0</v>
      </c>
      <c r="CE143" s="21">
        <f t="shared" si="39"/>
        <v>4.916666666666667</v>
      </c>
      <c r="CF143" s="21">
        <f t="shared" si="40"/>
        <v>5</v>
      </c>
      <c r="CG143" s="21">
        <f t="shared" si="41"/>
        <v>4.25</v>
      </c>
      <c r="CH143" s="21">
        <f t="shared" si="42"/>
        <v>5</v>
      </c>
      <c r="CI143" s="21">
        <f t="shared" si="43"/>
        <v>3.3333333333333335</v>
      </c>
      <c r="CJ143" s="21">
        <f t="shared" si="44"/>
        <v>4.5</v>
      </c>
    </row>
    <row r="144" spans="1:88">
      <c r="A144" s="9">
        <v>143</v>
      </c>
      <c r="B144" s="9" t="s">
        <v>161</v>
      </c>
      <c r="C144" s="9" t="s">
        <v>165</v>
      </c>
      <c r="D144" s="9" t="s">
        <v>86</v>
      </c>
      <c r="E144" s="9" t="s">
        <v>78</v>
      </c>
      <c r="F144" s="9" t="s">
        <v>78</v>
      </c>
      <c r="H144" s="9" t="s">
        <v>65</v>
      </c>
      <c r="I144" s="9" t="s">
        <v>83</v>
      </c>
      <c r="J144" s="9" t="s">
        <v>65</v>
      </c>
      <c r="K144" s="9" t="s">
        <v>323</v>
      </c>
      <c r="N144" s="9" t="s">
        <v>70</v>
      </c>
      <c r="P144" s="10">
        <v>3</v>
      </c>
      <c r="Q144" s="10">
        <v>3</v>
      </c>
      <c r="R144" s="10">
        <v>3</v>
      </c>
      <c r="S144" s="10">
        <v>3</v>
      </c>
      <c r="T144" s="10">
        <v>3</v>
      </c>
      <c r="U144" s="10">
        <v>3</v>
      </c>
      <c r="V144" s="10">
        <v>3</v>
      </c>
      <c r="W144" s="11">
        <v>4</v>
      </c>
      <c r="X144" s="11">
        <v>4</v>
      </c>
      <c r="Y144" s="11">
        <v>4</v>
      </c>
      <c r="Z144" s="11">
        <v>4</v>
      </c>
      <c r="AA144" s="11">
        <v>4</v>
      </c>
      <c r="AB144" s="11">
        <v>4</v>
      </c>
      <c r="AC144" s="11">
        <v>4</v>
      </c>
      <c r="AD144" s="10"/>
      <c r="AE144" s="10"/>
      <c r="AF144" s="10"/>
      <c r="AG144" s="10"/>
      <c r="AH144" s="10"/>
      <c r="AI144" s="10"/>
      <c r="AJ144" s="10">
        <v>4</v>
      </c>
      <c r="AK144" s="10">
        <v>4</v>
      </c>
      <c r="AL144" s="10">
        <v>5</v>
      </c>
      <c r="AM144" s="10"/>
      <c r="AN144" s="10">
        <v>4.5</v>
      </c>
      <c r="AO144" s="10">
        <v>3</v>
      </c>
      <c r="AP144" s="10">
        <v>3.5</v>
      </c>
      <c r="AQ144" s="12">
        <v>3</v>
      </c>
      <c r="AR144" s="12">
        <v>3</v>
      </c>
      <c r="AS144" s="12">
        <v>3</v>
      </c>
      <c r="AT144" s="12">
        <v>3</v>
      </c>
      <c r="AU144" s="12">
        <v>2.5</v>
      </c>
      <c r="AV144" s="12">
        <v>2.9</v>
      </c>
      <c r="AW144" s="12">
        <v>3</v>
      </c>
      <c r="AX144" s="12">
        <v>3</v>
      </c>
      <c r="AY144" s="12">
        <v>3</v>
      </c>
      <c r="AZ144" s="12">
        <v>3</v>
      </c>
      <c r="BA144" s="12">
        <v>3</v>
      </c>
      <c r="BB144" s="13">
        <v>1169</v>
      </c>
      <c r="BC144" s="13">
        <v>1659</v>
      </c>
      <c r="BD144" s="13">
        <v>49</v>
      </c>
      <c r="BE144" s="13">
        <v>0.42</v>
      </c>
      <c r="BF144" s="13" t="s">
        <v>336</v>
      </c>
      <c r="BG144" s="13" t="s">
        <v>324</v>
      </c>
      <c r="BI144" s="13" t="s">
        <v>328</v>
      </c>
      <c r="BX144" s="9">
        <f t="shared" si="32"/>
        <v>4</v>
      </c>
      <c r="BY144" s="9">
        <f t="shared" si="33"/>
        <v>4</v>
      </c>
      <c r="BZ144" s="9">
        <f t="shared" si="34"/>
        <v>3</v>
      </c>
      <c r="CA144" s="9">
        <f t="shared" si="35"/>
        <v>4</v>
      </c>
      <c r="CB144" s="9">
        <f t="shared" si="36"/>
        <v>3</v>
      </c>
      <c r="CC144" s="9">
        <f t="shared" si="37"/>
        <v>3.5</v>
      </c>
      <c r="CD144" s="9">
        <f t="shared" si="38"/>
        <v>3</v>
      </c>
      <c r="CE144" s="21">
        <f t="shared" si="39"/>
        <v>4</v>
      </c>
      <c r="CF144" s="21">
        <f t="shared" si="40"/>
        <v>4</v>
      </c>
      <c r="CG144" s="21">
        <f t="shared" si="41"/>
        <v>3</v>
      </c>
      <c r="CH144" s="21">
        <f t="shared" si="42"/>
        <v>4.5</v>
      </c>
      <c r="CI144" s="21">
        <f t="shared" si="43"/>
        <v>3.5</v>
      </c>
      <c r="CJ144" s="21">
        <f t="shared" si="44"/>
        <v>3.8</v>
      </c>
    </row>
    <row r="145" spans="1:88">
      <c r="A145" s="9">
        <v>144</v>
      </c>
      <c r="B145" s="9" t="s">
        <v>166</v>
      </c>
      <c r="D145" s="9" t="s">
        <v>167</v>
      </c>
      <c r="E145" s="9" t="s">
        <v>74</v>
      </c>
      <c r="F145" s="9" t="s">
        <v>78</v>
      </c>
      <c r="G145" s="9">
        <v>2015</v>
      </c>
      <c r="H145" s="9" t="s">
        <v>69</v>
      </c>
      <c r="I145" s="9" t="s">
        <v>83</v>
      </c>
      <c r="K145" s="9" t="s">
        <v>322</v>
      </c>
      <c r="N145" s="9" t="s">
        <v>70</v>
      </c>
      <c r="P145" s="10">
        <v>2</v>
      </c>
      <c r="Q145" s="10">
        <v>2</v>
      </c>
      <c r="R145" s="10">
        <v>3</v>
      </c>
      <c r="S145" s="10">
        <v>3</v>
      </c>
      <c r="T145" s="10">
        <v>3</v>
      </c>
      <c r="U145" s="10">
        <v>3</v>
      </c>
      <c r="V145" s="10">
        <v>2.6666666666666665</v>
      </c>
      <c r="W145" s="11">
        <v>1</v>
      </c>
      <c r="X145" s="11">
        <v>2</v>
      </c>
      <c r="Y145" s="11">
        <v>3</v>
      </c>
      <c r="Z145" s="11">
        <v>3</v>
      </c>
      <c r="AA145" s="11">
        <v>3</v>
      </c>
      <c r="AB145" s="11">
        <v>3</v>
      </c>
      <c r="AC145" s="11">
        <v>2.5</v>
      </c>
      <c r="AD145" s="10"/>
      <c r="AE145" s="10"/>
      <c r="AF145" s="10"/>
      <c r="AG145" s="10"/>
      <c r="AH145" s="10"/>
      <c r="AI145" s="10"/>
      <c r="AJ145" s="10">
        <v>1</v>
      </c>
      <c r="AK145" s="10">
        <v>4</v>
      </c>
      <c r="AL145" s="10">
        <v>4</v>
      </c>
      <c r="AM145" s="10"/>
      <c r="AN145" s="10">
        <v>4</v>
      </c>
      <c r="AO145" s="10"/>
      <c r="AP145" s="10">
        <v>4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X145" s="9">
        <f t="shared" si="32"/>
        <v>1</v>
      </c>
      <c r="BY145" s="9">
        <f t="shared" si="33"/>
        <v>1</v>
      </c>
      <c r="BZ145" s="9">
        <f t="shared" si="34"/>
        <v>2</v>
      </c>
      <c r="CA145" s="9">
        <f t="shared" si="35"/>
        <v>4</v>
      </c>
      <c r="CB145" s="9">
        <f t="shared" si="36"/>
        <v>0</v>
      </c>
      <c r="CC145" s="9">
        <f t="shared" si="37"/>
        <v>4</v>
      </c>
      <c r="CD145" s="9">
        <f t="shared" si="38"/>
        <v>0</v>
      </c>
      <c r="CE145" s="21">
        <f t="shared" si="39"/>
        <v>2.5</v>
      </c>
      <c r="CF145" s="21">
        <f t="shared" si="40"/>
        <v>1</v>
      </c>
      <c r="CG145" s="21">
        <f t="shared" si="41"/>
        <v>2.6666666666666665</v>
      </c>
      <c r="CH145" s="21">
        <f t="shared" si="42"/>
        <v>4</v>
      </c>
      <c r="CI145" s="21">
        <f t="shared" si="43"/>
        <v>4</v>
      </c>
      <c r="CJ145" s="21">
        <f t="shared" si="44"/>
        <v>2.833333333333333</v>
      </c>
    </row>
    <row r="146" spans="1:88">
      <c r="A146" s="9">
        <v>145</v>
      </c>
      <c r="B146" s="9" t="s">
        <v>166</v>
      </c>
      <c r="C146" s="9" t="s">
        <v>98</v>
      </c>
      <c r="D146" s="9" t="s">
        <v>127</v>
      </c>
      <c r="E146" s="9" t="s">
        <v>74</v>
      </c>
      <c r="H146" s="9" t="s">
        <v>65</v>
      </c>
      <c r="I146" s="9" t="s">
        <v>87</v>
      </c>
      <c r="K146" s="9" t="s">
        <v>322</v>
      </c>
      <c r="N146" s="9" t="s">
        <v>70</v>
      </c>
      <c r="O146" s="9" t="s">
        <v>70</v>
      </c>
      <c r="P146" s="10">
        <v>4</v>
      </c>
      <c r="Q146" s="10">
        <v>4</v>
      </c>
      <c r="R146" s="10">
        <v>2</v>
      </c>
      <c r="S146" s="10">
        <v>3.5</v>
      </c>
      <c r="T146" s="10">
        <v>4</v>
      </c>
      <c r="U146" s="10">
        <v>3</v>
      </c>
      <c r="V146" s="10">
        <v>3.4166666666666665</v>
      </c>
      <c r="W146" s="11">
        <v>3.5</v>
      </c>
      <c r="X146" s="11">
        <v>3</v>
      </c>
      <c r="Y146" s="11">
        <v>3</v>
      </c>
      <c r="Z146" s="11">
        <v>3</v>
      </c>
      <c r="AA146" s="11">
        <v>3.5</v>
      </c>
      <c r="AB146" s="11">
        <v>4</v>
      </c>
      <c r="AC146" s="11">
        <v>3.3333333333333335</v>
      </c>
      <c r="AD146" s="10"/>
      <c r="AE146" s="10"/>
      <c r="AF146" s="10"/>
      <c r="AG146" s="10"/>
      <c r="AH146" s="10"/>
      <c r="AI146" s="10"/>
      <c r="AJ146" s="10">
        <v>4</v>
      </c>
      <c r="AK146" s="10">
        <v>4</v>
      </c>
      <c r="AL146" s="10">
        <v>4</v>
      </c>
      <c r="AM146" s="10"/>
      <c r="AN146" s="10">
        <v>4</v>
      </c>
      <c r="AO146" s="10">
        <v>4</v>
      </c>
      <c r="AP146" s="10">
        <v>5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X146" s="9">
        <f t="shared" si="32"/>
        <v>3</v>
      </c>
      <c r="BY146" s="9">
        <f t="shared" si="33"/>
        <v>4</v>
      </c>
      <c r="BZ146" s="9">
        <f t="shared" si="34"/>
        <v>2</v>
      </c>
      <c r="CA146" s="9">
        <f t="shared" si="35"/>
        <v>4</v>
      </c>
      <c r="CB146" s="9">
        <f t="shared" si="36"/>
        <v>4</v>
      </c>
      <c r="CC146" s="9">
        <f t="shared" si="37"/>
        <v>5</v>
      </c>
      <c r="CD146" s="9">
        <f t="shared" si="38"/>
        <v>2</v>
      </c>
      <c r="CE146" s="21">
        <f t="shared" si="39"/>
        <v>3.3333333333333335</v>
      </c>
      <c r="CF146" s="21">
        <f t="shared" si="40"/>
        <v>4</v>
      </c>
      <c r="CG146" s="21">
        <f t="shared" si="41"/>
        <v>3.4166666666666665</v>
      </c>
      <c r="CH146" s="21">
        <f t="shared" si="42"/>
        <v>4</v>
      </c>
      <c r="CI146" s="21">
        <f t="shared" si="43"/>
        <v>5</v>
      </c>
      <c r="CJ146" s="21">
        <f t="shared" si="44"/>
        <v>3.95</v>
      </c>
    </row>
    <row r="147" spans="1:88">
      <c r="A147" s="9">
        <v>146</v>
      </c>
      <c r="B147" s="9" t="s">
        <v>166</v>
      </c>
      <c r="C147" s="9" t="s">
        <v>134</v>
      </c>
      <c r="D147" s="9" t="s">
        <v>128</v>
      </c>
      <c r="E147" s="9" t="s">
        <v>78</v>
      </c>
      <c r="F147" s="9" t="s">
        <v>78</v>
      </c>
      <c r="G147" s="9">
        <v>2009</v>
      </c>
      <c r="H147" s="9" t="s">
        <v>69</v>
      </c>
      <c r="I147" s="9" t="s">
        <v>87</v>
      </c>
      <c r="K147" s="9" t="s">
        <v>322</v>
      </c>
      <c r="N147" s="9" t="s">
        <v>70</v>
      </c>
      <c r="P147" s="10">
        <v>3</v>
      </c>
      <c r="Q147" s="10">
        <v>3</v>
      </c>
      <c r="R147" s="10">
        <v>3</v>
      </c>
      <c r="S147" s="10">
        <v>3</v>
      </c>
      <c r="T147" s="10">
        <v>3</v>
      </c>
      <c r="U147" s="10">
        <v>3</v>
      </c>
      <c r="V147" s="10">
        <v>3</v>
      </c>
      <c r="W147" s="11">
        <v>3</v>
      </c>
      <c r="X147" s="11">
        <v>4</v>
      </c>
      <c r="Y147" s="11">
        <v>4</v>
      </c>
      <c r="Z147" s="11">
        <v>4.5</v>
      </c>
      <c r="AA147" s="11">
        <v>4.5</v>
      </c>
      <c r="AB147" s="11">
        <v>4</v>
      </c>
      <c r="AC147" s="11">
        <v>4</v>
      </c>
      <c r="AD147" s="10"/>
      <c r="AE147" s="10"/>
      <c r="AF147" s="10"/>
      <c r="AG147" s="10"/>
      <c r="AH147" s="10"/>
      <c r="AI147" s="10"/>
      <c r="AJ147" s="10">
        <v>5</v>
      </c>
      <c r="AK147" s="10">
        <v>4</v>
      </c>
      <c r="AL147" s="10">
        <v>4</v>
      </c>
      <c r="AM147" s="10">
        <v>4</v>
      </c>
      <c r="AN147" s="10">
        <v>4</v>
      </c>
      <c r="AO147" s="10">
        <v>4</v>
      </c>
      <c r="AP147" s="10">
        <v>5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X147" s="9">
        <f t="shared" si="32"/>
        <v>3</v>
      </c>
      <c r="BY147" s="9">
        <f t="shared" si="33"/>
        <v>5</v>
      </c>
      <c r="BZ147" s="9">
        <f t="shared" si="34"/>
        <v>3</v>
      </c>
      <c r="CA147" s="9">
        <f t="shared" si="35"/>
        <v>4</v>
      </c>
      <c r="CB147" s="9">
        <f t="shared" si="36"/>
        <v>4</v>
      </c>
      <c r="CC147" s="9">
        <f t="shared" si="37"/>
        <v>5</v>
      </c>
      <c r="CD147" s="9">
        <f t="shared" si="38"/>
        <v>3</v>
      </c>
      <c r="CE147" s="21">
        <f t="shared" si="39"/>
        <v>4</v>
      </c>
      <c r="CF147" s="21">
        <f t="shared" si="40"/>
        <v>5</v>
      </c>
      <c r="CG147" s="21">
        <f t="shared" si="41"/>
        <v>3</v>
      </c>
      <c r="CH147" s="21">
        <f t="shared" si="42"/>
        <v>4</v>
      </c>
      <c r="CI147" s="21">
        <f t="shared" si="43"/>
        <v>5</v>
      </c>
      <c r="CJ147" s="21">
        <f t="shared" si="44"/>
        <v>4.2</v>
      </c>
    </row>
    <row r="148" spans="1:88">
      <c r="A148" s="9">
        <v>147</v>
      </c>
      <c r="B148" s="9" t="s">
        <v>138</v>
      </c>
      <c r="C148" s="9" t="s">
        <v>98</v>
      </c>
      <c r="D148" s="9" t="s">
        <v>96</v>
      </c>
      <c r="E148" s="9" t="s">
        <v>63</v>
      </c>
      <c r="H148" s="9" t="s">
        <v>65</v>
      </c>
      <c r="I148" s="9" t="s">
        <v>87</v>
      </c>
      <c r="K148" s="9" t="s">
        <v>323</v>
      </c>
      <c r="N148" s="9" t="s">
        <v>70</v>
      </c>
      <c r="O148" s="9" t="s">
        <v>70</v>
      </c>
      <c r="P148" s="10">
        <v>3</v>
      </c>
      <c r="Q148" s="10">
        <v>4</v>
      </c>
      <c r="R148" s="10">
        <v>3</v>
      </c>
      <c r="S148" s="10">
        <v>4</v>
      </c>
      <c r="T148" s="10">
        <v>3</v>
      </c>
      <c r="U148" s="10">
        <v>3</v>
      </c>
      <c r="V148" s="10">
        <v>3.3333333333333335</v>
      </c>
      <c r="W148" s="11">
        <v>2</v>
      </c>
      <c r="X148" s="11">
        <v>2</v>
      </c>
      <c r="Y148" s="11">
        <v>3</v>
      </c>
      <c r="Z148" s="11">
        <v>4</v>
      </c>
      <c r="AA148" s="11">
        <v>3.5</v>
      </c>
      <c r="AB148" s="11">
        <v>1</v>
      </c>
      <c r="AC148" s="11">
        <v>2.5833333333333335</v>
      </c>
      <c r="AD148" s="10"/>
      <c r="AE148" s="10"/>
      <c r="AF148" s="10"/>
      <c r="AG148" s="10"/>
      <c r="AH148" s="10"/>
      <c r="AI148" s="10"/>
      <c r="AJ148" s="10">
        <v>1</v>
      </c>
      <c r="AK148" s="10">
        <v>2</v>
      </c>
      <c r="AL148" s="10">
        <v>3</v>
      </c>
      <c r="AM148" s="10">
        <v>3</v>
      </c>
      <c r="AN148" s="10">
        <v>2.6666666666666665</v>
      </c>
      <c r="AO148" s="10">
        <v>2</v>
      </c>
      <c r="AP148" s="10">
        <v>3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X148" s="9">
        <f t="shared" si="32"/>
        <v>1</v>
      </c>
      <c r="BY148" s="9">
        <f t="shared" si="33"/>
        <v>1</v>
      </c>
      <c r="BZ148" s="9">
        <f t="shared" si="34"/>
        <v>3</v>
      </c>
      <c r="CA148" s="9">
        <f t="shared" si="35"/>
        <v>2</v>
      </c>
      <c r="CB148" s="9">
        <f t="shared" si="36"/>
        <v>2</v>
      </c>
      <c r="CC148" s="9">
        <f t="shared" si="37"/>
        <v>3</v>
      </c>
      <c r="CD148" s="9">
        <f t="shared" si="38"/>
        <v>1</v>
      </c>
      <c r="CE148" s="21">
        <f t="shared" si="39"/>
        <v>2.5833333333333335</v>
      </c>
      <c r="CF148" s="21">
        <f t="shared" si="40"/>
        <v>1</v>
      </c>
      <c r="CG148" s="21">
        <f t="shared" si="41"/>
        <v>3.3333333333333335</v>
      </c>
      <c r="CH148" s="21">
        <f t="shared" si="42"/>
        <v>2.6666666666666665</v>
      </c>
      <c r="CI148" s="21">
        <f t="shared" si="43"/>
        <v>3</v>
      </c>
      <c r="CJ148" s="21">
        <f t="shared" si="44"/>
        <v>2.5166666666666666</v>
      </c>
    </row>
    <row r="149" spans="1:88">
      <c r="A149" s="9">
        <v>148</v>
      </c>
      <c r="B149" s="9" t="s">
        <v>143</v>
      </c>
      <c r="C149" s="9" t="s">
        <v>98</v>
      </c>
      <c r="D149" s="9" t="s">
        <v>75</v>
      </c>
      <c r="E149" s="9" t="s">
        <v>105</v>
      </c>
      <c r="H149" s="9" t="s">
        <v>69</v>
      </c>
      <c r="I149" s="9" t="s">
        <v>87</v>
      </c>
      <c r="J149" s="9" t="s">
        <v>65</v>
      </c>
      <c r="K149" s="9" t="s">
        <v>92</v>
      </c>
      <c r="L149" s="9" t="s">
        <v>70</v>
      </c>
      <c r="P149" s="10">
        <v>4</v>
      </c>
      <c r="Q149" s="10">
        <v>4</v>
      </c>
      <c r="R149" s="10">
        <v>3</v>
      </c>
      <c r="S149" s="10">
        <v>3</v>
      </c>
      <c r="T149" s="10">
        <v>3</v>
      </c>
      <c r="U149" s="10">
        <v>3</v>
      </c>
      <c r="V149" s="10">
        <v>3.3333333333333335</v>
      </c>
      <c r="W149" s="11">
        <v>4</v>
      </c>
      <c r="X149" s="11">
        <v>4</v>
      </c>
      <c r="Y149" s="11">
        <v>4</v>
      </c>
      <c r="Z149" s="11">
        <v>3</v>
      </c>
      <c r="AA149" s="11">
        <v>3.5</v>
      </c>
      <c r="AB149" s="11">
        <v>3</v>
      </c>
      <c r="AC149" s="11">
        <v>3.5833333333333335</v>
      </c>
      <c r="AD149" s="10"/>
      <c r="AE149" s="10"/>
      <c r="AF149" s="10"/>
      <c r="AG149" s="10"/>
      <c r="AH149" s="10"/>
      <c r="AI149" s="10"/>
      <c r="AJ149" s="10">
        <v>4</v>
      </c>
      <c r="AK149" s="10">
        <v>1</v>
      </c>
      <c r="AL149" s="10"/>
      <c r="AM149" s="10"/>
      <c r="AN149" s="10">
        <v>1</v>
      </c>
      <c r="AO149" s="10">
        <v>4</v>
      </c>
      <c r="AP149" s="10">
        <v>2.25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X149" s="9">
        <f t="shared" si="32"/>
        <v>3</v>
      </c>
      <c r="BY149" s="9">
        <f t="shared" si="33"/>
        <v>4</v>
      </c>
      <c r="BZ149" s="9">
        <f t="shared" si="34"/>
        <v>3</v>
      </c>
      <c r="CA149" s="9">
        <f t="shared" si="35"/>
        <v>1</v>
      </c>
      <c r="CB149" s="9">
        <f t="shared" si="36"/>
        <v>4</v>
      </c>
      <c r="CC149" s="9">
        <f t="shared" si="37"/>
        <v>2.25</v>
      </c>
      <c r="CD149" s="9">
        <f t="shared" si="38"/>
        <v>1</v>
      </c>
      <c r="CE149" s="21">
        <f t="shared" si="39"/>
        <v>3.5833333333333335</v>
      </c>
      <c r="CF149" s="21">
        <f t="shared" si="40"/>
        <v>4</v>
      </c>
      <c r="CG149" s="21">
        <f t="shared" si="41"/>
        <v>3.3333333333333335</v>
      </c>
      <c r="CH149" s="21">
        <f t="shared" si="42"/>
        <v>1</v>
      </c>
      <c r="CI149" s="21">
        <f t="shared" si="43"/>
        <v>2.25</v>
      </c>
      <c r="CJ149" s="21">
        <f t="shared" si="44"/>
        <v>2.8333333333333335</v>
      </c>
    </row>
    <row r="150" spans="1:88">
      <c r="A150" s="9">
        <v>149</v>
      </c>
      <c r="B150" s="9" t="s">
        <v>101</v>
      </c>
      <c r="C150" s="9" t="s">
        <v>98</v>
      </c>
      <c r="D150" s="9" t="s">
        <v>168</v>
      </c>
      <c r="E150" s="9" t="s">
        <v>78</v>
      </c>
      <c r="H150" s="9" t="s">
        <v>69</v>
      </c>
      <c r="I150" s="9" t="s">
        <v>87</v>
      </c>
      <c r="J150" s="9" t="s">
        <v>69</v>
      </c>
      <c r="K150" s="9" t="s">
        <v>92</v>
      </c>
      <c r="L150" s="9" t="s">
        <v>70</v>
      </c>
      <c r="P150" s="10">
        <v>4</v>
      </c>
      <c r="Q150" s="10">
        <v>4</v>
      </c>
      <c r="R150" s="10">
        <v>4</v>
      </c>
      <c r="S150" s="10">
        <v>4</v>
      </c>
      <c r="T150" s="10">
        <v>4</v>
      </c>
      <c r="U150" s="10">
        <v>4</v>
      </c>
      <c r="V150" s="10">
        <v>4</v>
      </c>
      <c r="W150" s="11">
        <v>4</v>
      </c>
      <c r="X150" s="11">
        <v>4</v>
      </c>
      <c r="Y150" s="11">
        <v>4</v>
      </c>
      <c r="Z150" s="11">
        <v>4</v>
      </c>
      <c r="AA150" s="11">
        <v>4</v>
      </c>
      <c r="AB150" s="11">
        <v>4</v>
      </c>
      <c r="AC150" s="11">
        <v>4</v>
      </c>
      <c r="AD150" s="10"/>
      <c r="AE150" s="10"/>
      <c r="AF150" s="10"/>
      <c r="AG150" s="10"/>
      <c r="AH150" s="10"/>
      <c r="AI150" s="10"/>
      <c r="AJ150" s="10">
        <v>4</v>
      </c>
      <c r="AK150" s="10">
        <v>4</v>
      </c>
      <c r="AL150" s="10">
        <v>4</v>
      </c>
      <c r="AM150" s="10"/>
      <c r="AN150" s="10">
        <v>4</v>
      </c>
      <c r="AO150" s="10">
        <v>4</v>
      </c>
      <c r="AP150" s="10">
        <v>3.75</v>
      </c>
      <c r="AQ150" s="12">
        <v>1</v>
      </c>
      <c r="AR150" s="12">
        <v>1</v>
      </c>
      <c r="AS150" s="12">
        <v>2</v>
      </c>
      <c r="AT150" s="12">
        <v>3</v>
      </c>
      <c r="AU150" s="12">
        <v>2</v>
      </c>
      <c r="AV150" s="12">
        <v>1.8</v>
      </c>
      <c r="AW150" s="12">
        <v>2</v>
      </c>
      <c r="AX150" s="12">
        <v>1</v>
      </c>
      <c r="AY150" s="12">
        <v>1</v>
      </c>
      <c r="AZ150" s="12">
        <v>1</v>
      </c>
      <c r="BA150" s="12">
        <v>3</v>
      </c>
      <c r="BB150" s="13">
        <v>753</v>
      </c>
      <c r="BC150" s="13">
        <v>1146</v>
      </c>
      <c r="BD150" s="13">
        <v>393</v>
      </c>
      <c r="BE150" s="13">
        <v>0.52</v>
      </c>
      <c r="BF150" s="13" t="s">
        <v>217</v>
      </c>
      <c r="BG150" s="13" t="s">
        <v>324</v>
      </c>
      <c r="BH150" s="13" t="s">
        <v>327</v>
      </c>
      <c r="BI150" s="13" t="s">
        <v>334</v>
      </c>
      <c r="BX150" s="9">
        <f t="shared" si="32"/>
        <v>4</v>
      </c>
      <c r="BY150" s="9">
        <f t="shared" si="33"/>
        <v>4</v>
      </c>
      <c r="BZ150" s="9">
        <f t="shared" si="34"/>
        <v>4</v>
      </c>
      <c r="CA150" s="9">
        <f t="shared" si="35"/>
        <v>4</v>
      </c>
      <c r="CB150" s="9">
        <f t="shared" si="36"/>
        <v>4</v>
      </c>
      <c r="CC150" s="9">
        <f t="shared" si="37"/>
        <v>3.75</v>
      </c>
      <c r="CD150" s="9">
        <f t="shared" si="38"/>
        <v>3.75</v>
      </c>
      <c r="CE150" s="21">
        <f t="shared" si="39"/>
        <v>4</v>
      </c>
      <c r="CF150" s="21">
        <f t="shared" si="40"/>
        <v>4</v>
      </c>
      <c r="CG150" s="21">
        <f t="shared" si="41"/>
        <v>4</v>
      </c>
      <c r="CH150" s="21">
        <f t="shared" si="42"/>
        <v>4</v>
      </c>
      <c r="CI150" s="21">
        <f t="shared" si="43"/>
        <v>3.75</v>
      </c>
      <c r="CJ150" s="21">
        <f t="shared" si="44"/>
        <v>3.95</v>
      </c>
    </row>
    <row r="151" spans="1:88">
      <c r="A151" s="9">
        <v>150</v>
      </c>
      <c r="B151" s="9" t="s">
        <v>169</v>
      </c>
      <c r="C151" s="9" t="s">
        <v>170</v>
      </c>
      <c r="D151" s="9" t="s">
        <v>72</v>
      </c>
      <c r="E151" s="9" t="s">
        <v>74</v>
      </c>
      <c r="H151" s="9" t="s">
        <v>65</v>
      </c>
      <c r="I151" s="9" t="s">
        <v>87</v>
      </c>
      <c r="J151" s="9" t="s">
        <v>65</v>
      </c>
      <c r="K151" s="9" t="s">
        <v>92</v>
      </c>
      <c r="L151" s="9" t="s">
        <v>70</v>
      </c>
      <c r="P151" s="10">
        <v>3</v>
      </c>
      <c r="Q151" s="10">
        <v>3</v>
      </c>
      <c r="R151" s="10">
        <v>3</v>
      </c>
      <c r="S151" s="10">
        <v>3</v>
      </c>
      <c r="T151" s="10">
        <v>3</v>
      </c>
      <c r="U151" s="10">
        <v>3</v>
      </c>
      <c r="V151" s="10">
        <v>3</v>
      </c>
      <c r="W151" s="11">
        <v>4</v>
      </c>
      <c r="X151" s="11">
        <v>4</v>
      </c>
      <c r="Y151" s="11">
        <v>4</v>
      </c>
      <c r="Z151" s="11">
        <v>3</v>
      </c>
      <c r="AA151" s="11">
        <v>4</v>
      </c>
      <c r="AB151" s="11">
        <v>4</v>
      </c>
      <c r="AC151" s="11">
        <v>3.8333333333333335</v>
      </c>
      <c r="AD151" s="10"/>
      <c r="AE151" s="10"/>
      <c r="AF151" s="10"/>
      <c r="AG151" s="10"/>
      <c r="AH151" s="10"/>
      <c r="AI151" s="10"/>
      <c r="AJ151" s="10">
        <v>4</v>
      </c>
      <c r="AK151" s="10">
        <v>3</v>
      </c>
      <c r="AL151" s="10">
        <v>3</v>
      </c>
      <c r="AM151" s="10"/>
      <c r="AN151" s="10">
        <v>3</v>
      </c>
      <c r="AO151" s="10">
        <v>4</v>
      </c>
      <c r="AP151" s="10">
        <v>2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X151" s="9">
        <f t="shared" si="32"/>
        <v>3</v>
      </c>
      <c r="BY151" s="9">
        <f t="shared" si="33"/>
        <v>4</v>
      </c>
      <c r="BZ151" s="9">
        <f t="shared" si="34"/>
        <v>3</v>
      </c>
      <c r="CA151" s="9">
        <f t="shared" si="35"/>
        <v>3</v>
      </c>
      <c r="CB151" s="9">
        <f t="shared" si="36"/>
        <v>4</v>
      </c>
      <c r="CC151" s="9">
        <f t="shared" si="37"/>
        <v>2</v>
      </c>
      <c r="CD151" s="9">
        <f t="shared" si="38"/>
        <v>2</v>
      </c>
      <c r="CE151" s="21">
        <f t="shared" si="39"/>
        <v>3.8333333333333335</v>
      </c>
      <c r="CF151" s="21">
        <f t="shared" si="40"/>
        <v>4</v>
      </c>
      <c r="CG151" s="21">
        <f t="shared" si="41"/>
        <v>3</v>
      </c>
      <c r="CH151" s="21">
        <f t="shared" si="42"/>
        <v>3</v>
      </c>
      <c r="CI151" s="21">
        <f t="shared" si="43"/>
        <v>2</v>
      </c>
      <c r="CJ151" s="21">
        <f t="shared" si="44"/>
        <v>3.166666666666667</v>
      </c>
    </row>
    <row r="152" spans="1:88">
      <c r="A152" s="9">
        <v>151</v>
      </c>
      <c r="B152" s="9" t="s">
        <v>114</v>
      </c>
      <c r="C152" s="9" t="s">
        <v>170</v>
      </c>
      <c r="D152" s="9" t="s">
        <v>111</v>
      </c>
      <c r="E152" s="9" t="s">
        <v>63</v>
      </c>
      <c r="H152" s="9" t="s">
        <v>69</v>
      </c>
      <c r="I152" s="9" t="s">
        <v>87</v>
      </c>
      <c r="J152" s="9" t="s">
        <v>69</v>
      </c>
      <c r="K152" s="9" t="s">
        <v>92</v>
      </c>
      <c r="L152" s="9" t="s">
        <v>70</v>
      </c>
      <c r="P152" s="10">
        <v>4</v>
      </c>
      <c r="Q152" s="10">
        <v>4</v>
      </c>
      <c r="R152" s="10">
        <v>4</v>
      </c>
      <c r="S152" s="10">
        <v>4</v>
      </c>
      <c r="T152" s="10">
        <v>4</v>
      </c>
      <c r="U152" s="10">
        <v>3</v>
      </c>
      <c r="V152" s="10">
        <v>3.8333333333333335</v>
      </c>
      <c r="W152" s="11">
        <v>4</v>
      </c>
      <c r="X152" s="11">
        <v>4</v>
      </c>
      <c r="Y152" s="11">
        <v>4</v>
      </c>
      <c r="Z152" s="11">
        <v>3</v>
      </c>
      <c r="AA152" s="11">
        <v>4</v>
      </c>
      <c r="AB152" s="11">
        <v>4</v>
      </c>
      <c r="AC152" s="11">
        <v>3.8333333333333335</v>
      </c>
      <c r="AD152" s="10"/>
      <c r="AE152" s="10"/>
      <c r="AF152" s="10"/>
      <c r="AG152" s="10"/>
      <c r="AH152" s="10"/>
      <c r="AI152" s="10"/>
      <c r="AJ152" s="10">
        <v>4</v>
      </c>
      <c r="AK152" s="10">
        <v>4</v>
      </c>
      <c r="AL152" s="10">
        <v>4</v>
      </c>
      <c r="AM152" s="10">
        <v>3</v>
      </c>
      <c r="AN152" s="10">
        <v>3.6666666666666665</v>
      </c>
      <c r="AO152" s="10">
        <v>4</v>
      </c>
      <c r="AP152" s="10">
        <v>4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X152" s="9">
        <f t="shared" si="32"/>
        <v>3</v>
      </c>
      <c r="BY152" s="9">
        <f t="shared" si="33"/>
        <v>4</v>
      </c>
      <c r="BZ152" s="9">
        <f t="shared" si="34"/>
        <v>3</v>
      </c>
      <c r="CA152" s="9">
        <f t="shared" si="35"/>
        <v>3</v>
      </c>
      <c r="CB152" s="9">
        <f t="shared" si="36"/>
        <v>4</v>
      </c>
      <c r="CC152" s="9">
        <f t="shared" si="37"/>
        <v>4</v>
      </c>
      <c r="CD152" s="9">
        <f t="shared" si="38"/>
        <v>3</v>
      </c>
      <c r="CE152" s="21">
        <f t="shared" si="39"/>
        <v>3.8333333333333335</v>
      </c>
      <c r="CF152" s="21">
        <f t="shared" si="40"/>
        <v>4</v>
      </c>
      <c r="CG152" s="21">
        <f t="shared" si="41"/>
        <v>3.8333333333333335</v>
      </c>
      <c r="CH152" s="21">
        <f t="shared" si="42"/>
        <v>3.6666666666666665</v>
      </c>
      <c r="CI152" s="21">
        <f t="shared" si="43"/>
        <v>4</v>
      </c>
      <c r="CJ152" s="21">
        <f t="shared" si="44"/>
        <v>3.8666666666666671</v>
      </c>
    </row>
    <row r="153" spans="1:88">
      <c r="A153" s="9">
        <v>152</v>
      </c>
      <c r="B153" s="9" t="s">
        <v>138</v>
      </c>
      <c r="C153" s="9" t="s">
        <v>98</v>
      </c>
      <c r="D153" s="9" t="s">
        <v>96</v>
      </c>
      <c r="E153" s="9" t="s">
        <v>74</v>
      </c>
      <c r="F153" s="9" t="s">
        <v>64</v>
      </c>
      <c r="H153" s="9" t="s">
        <v>65</v>
      </c>
      <c r="I153" s="9" t="s">
        <v>87</v>
      </c>
      <c r="J153" s="9" t="s">
        <v>65</v>
      </c>
      <c r="K153" s="9" t="s">
        <v>323</v>
      </c>
      <c r="N153" s="9" t="s">
        <v>70</v>
      </c>
      <c r="O153" s="9" t="s">
        <v>70</v>
      </c>
      <c r="P153" s="10">
        <v>2</v>
      </c>
      <c r="Q153" s="10">
        <v>3</v>
      </c>
      <c r="R153" s="10">
        <v>3</v>
      </c>
      <c r="S153" s="10">
        <v>3</v>
      </c>
      <c r="T153" s="10">
        <v>3</v>
      </c>
      <c r="U153" s="10">
        <v>3</v>
      </c>
      <c r="V153" s="10">
        <v>2.8333333333333335</v>
      </c>
      <c r="W153" s="11">
        <v>1</v>
      </c>
      <c r="X153" s="11">
        <v>1</v>
      </c>
      <c r="Y153" s="11">
        <v>2</v>
      </c>
      <c r="Z153" s="11">
        <v>3</v>
      </c>
      <c r="AA153" s="11">
        <v>1.5</v>
      </c>
      <c r="AB153" s="11">
        <v>2</v>
      </c>
      <c r="AC153" s="11">
        <v>1.75</v>
      </c>
      <c r="AD153" s="10"/>
      <c r="AE153" s="10"/>
      <c r="AF153" s="10"/>
      <c r="AG153" s="10"/>
      <c r="AH153" s="10"/>
      <c r="AI153" s="10"/>
      <c r="AJ153" s="10">
        <v>1</v>
      </c>
      <c r="AK153" s="10">
        <v>2</v>
      </c>
      <c r="AL153" s="10">
        <v>2</v>
      </c>
      <c r="AM153" s="10">
        <v>2</v>
      </c>
      <c r="AN153" s="10">
        <v>2</v>
      </c>
      <c r="AO153" s="10">
        <v>1</v>
      </c>
      <c r="AP153" s="10">
        <v>2.3333333333333335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X153" s="9">
        <f t="shared" si="32"/>
        <v>1</v>
      </c>
      <c r="BY153" s="9">
        <f t="shared" si="33"/>
        <v>1</v>
      </c>
      <c r="BZ153" s="9">
        <f t="shared" si="34"/>
        <v>2</v>
      </c>
      <c r="CA153" s="9">
        <f t="shared" si="35"/>
        <v>2</v>
      </c>
      <c r="CB153" s="9">
        <f t="shared" si="36"/>
        <v>1</v>
      </c>
      <c r="CC153" s="9">
        <f t="shared" si="37"/>
        <v>2.3333333333333335</v>
      </c>
      <c r="CD153" s="9">
        <f t="shared" si="38"/>
        <v>1</v>
      </c>
      <c r="CE153" s="21">
        <f t="shared" si="39"/>
        <v>1.75</v>
      </c>
      <c r="CF153" s="21">
        <f t="shared" si="40"/>
        <v>1</v>
      </c>
      <c r="CG153" s="21">
        <f t="shared" si="41"/>
        <v>2.8333333333333335</v>
      </c>
      <c r="CH153" s="21">
        <f t="shared" si="42"/>
        <v>2</v>
      </c>
      <c r="CI153" s="21">
        <f t="shared" si="43"/>
        <v>2.3333333333333335</v>
      </c>
      <c r="CJ153" s="21">
        <f t="shared" si="44"/>
        <v>1.9833333333333336</v>
      </c>
    </row>
    <row r="154" spans="1:88">
      <c r="A154" s="9">
        <v>153</v>
      </c>
      <c r="B154" s="9" t="s">
        <v>138</v>
      </c>
      <c r="C154" s="9" t="s">
        <v>98</v>
      </c>
      <c r="D154" s="9" t="s">
        <v>171</v>
      </c>
      <c r="E154" s="9" t="s">
        <v>63</v>
      </c>
      <c r="F154" s="9" t="s">
        <v>64</v>
      </c>
      <c r="H154" s="9" t="s">
        <v>65</v>
      </c>
      <c r="I154" s="9" t="s">
        <v>87</v>
      </c>
      <c r="J154" s="9" t="s">
        <v>65</v>
      </c>
      <c r="K154" s="9" t="s">
        <v>323</v>
      </c>
      <c r="N154" s="9" t="s">
        <v>70</v>
      </c>
      <c r="P154" s="10">
        <v>3</v>
      </c>
      <c r="Q154" s="10">
        <v>3</v>
      </c>
      <c r="R154" s="10">
        <v>3</v>
      </c>
      <c r="S154" s="10">
        <v>3</v>
      </c>
      <c r="T154" s="10">
        <v>2</v>
      </c>
      <c r="U154" s="10">
        <v>3</v>
      </c>
      <c r="V154" s="10">
        <v>2.8333333333333335</v>
      </c>
      <c r="W154" s="11">
        <v>2.5</v>
      </c>
      <c r="X154" s="11">
        <v>4</v>
      </c>
      <c r="Y154" s="11">
        <v>2</v>
      </c>
      <c r="Z154" s="11">
        <v>3</v>
      </c>
      <c r="AA154" s="11">
        <v>2.5</v>
      </c>
      <c r="AB154" s="11">
        <v>3</v>
      </c>
      <c r="AC154" s="11">
        <v>2.8333333333333335</v>
      </c>
      <c r="AD154" s="10"/>
      <c r="AE154" s="10"/>
      <c r="AF154" s="10"/>
      <c r="AG154" s="10"/>
      <c r="AH154" s="10"/>
      <c r="AI154" s="10"/>
      <c r="AJ154" s="10">
        <v>3</v>
      </c>
      <c r="AK154" s="10">
        <v>2</v>
      </c>
      <c r="AL154" s="10">
        <v>3</v>
      </c>
      <c r="AM154" s="10">
        <v>3</v>
      </c>
      <c r="AN154" s="10">
        <v>2.6666666666666665</v>
      </c>
      <c r="AO154" s="10">
        <v>2</v>
      </c>
      <c r="AP154" s="10">
        <v>3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X154" s="9">
        <f t="shared" si="32"/>
        <v>2</v>
      </c>
      <c r="BY154" s="9">
        <f t="shared" si="33"/>
        <v>3</v>
      </c>
      <c r="BZ154" s="9">
        <f t="shared" si="34"/>
        <v>2</v>
      </c>
      <c r="CA154" s="9">
        <f t="shared" si="35"/>
        <v>2</v>
      </c>
      <c r="CB154" s="9">
        <f t="shared" si="36"/>
        <v>2</v>
      </c>
      <c r="CC154" s="9">
        <f t="shared" si="37"/>
        <v>3</v>
      </c>
      <c r="CD154" s="9">
        <f t="shared" si="38"/>
        <v>2</v>
      </c>
      <c r="CE154" s="21">
        <f t="shared" si="39"/>
        <v>2.8333333333333335</v>
      </c>
      <c r="CF154" s="21">
        <f t="shared" si="40"/>
        <v>3</v>
      </c>
      <c r="CG154" s="21">
        <f t="shared" si="41"/>
        <v>2.8333333333333335</v>
      </c>
      <c r="CH154" s="21">
        <f t="shared" si="42"/>
        <v>2.6666666666666665</v>
      </c>
      <c r="CI154" s="21">
        <f t="shared" si="43"/>
        <v>3</v>
      </c>
      <c r="CJ154" s="21">
        <f t="shared" si="44"/>
        <v>2.8666666666666667</v>
      </c>
    </row>
    <row r="155" spans="1:88">
      <c r="A155" s="9">
        <v>154</v>
      </c>
      <c r="B155" s="9" t="s">
        <v>172</v>
      </c>
      <c r="C155" s="9" t="s">
        <v>98</v>
      </c>
      <c r="D155" s="9" t="s">
        <v>75</v>
      </c>
      <c r="E155" s="9" t="s">
        <v>105</v>
      </c>
      <c r="F155" s="9" t="s">
        <v>64</v>
      </c>
      <c r="H155" s="9" t="s">
        <v>65</v>
      </c>
      <c r="I155" s="9" t="s">
        <v>87</v>
      </c>
      <c r="J155" s="9" t="s">
        <v>65</v>
      </c>
      <c r="K155" s="9" t="s">
        <v>323</v>
      </c>
      <c r="N155" s="9" t="s">
        <v>70</v>
      </c>
      <c r="P155" s="10">
        <v>4</v>
      </c>
      <c r="Q155" s="10">
        <v>4</v>
      </c>
      <c r="R155" s="10">
        <v>4</v>
      </c>
      <c r="S155" s="10">
        <v>3.5</v>
      </c>
      <c r="T155" s="10">
        <v>4</v>
      </c>
      <c r="U155" s="10">
        <v>3</v>
      </c>
      <c r="V155" s="10">
        <v>3.75</v>
      </c>
      <c r="W155" s="11">
        <v>2.5</v>
      </c>
      <c r="X155" s="11">
        <v>3</v>
      </c>
      <c r="Y155" s="11">
        <v>3</v>
      </c>
      <c r="Z155" s="11">
        <v>3</v>
      </c>
      <c r="AA155" s="11">
        <v>4</v>
      </c>
      <c r="AB155" s="11">
        <v>4</v>
      </c>
      <c r="AC155" s="11">
        <v>3.25</v>
      </c>
      <c r="AD155" s="10"/>
      <c r="AE155" s="10"/>
      <c r="AF155" s="10"/>
      <c r="AG155" s="10"/>
      <c r="AH155" s="10"/>
      <c r="AI155" s="10"/>
      <c r="AJ155" s="10">
        <v>4</v>
      </c>
      <c r="AK155" s="10">
        <v>3</v>
      </c>
      <c r="AL155" s="10">
        <v>3</v>
      </c>
      <c r="AM155" s="10">
        <v>3</v>
      </c>
      <c r="AN155" s="10">
        <v>3</v>
      </c>
      <c r="AO155" s="10">
        <v>2</v>
      </c>
      <c r="AP155" s="10">
        <v>2.6666666666666665</v>
      </c>
      <c r="AQ155" s="12">
        <v>2</v>
      </c>
      <c r="AR155" s="12">
        <v>1</v>
      </c>
      <c r="AS155" s="12">
        <v>2</v>
      </c>
      <c r="AT155" s="12">
        <v>1</v>
      </c>
      <c r="AU155" s="12">
        <v>1.5</v>
      </c>
      <c r="AV155" s="12">
        <v>1.5</v>
      </c>
      <c r="AW155" s="12">
        <v>2</v>
      </c>
      <c r="AX155" s="12">
        <v>2</v>
      </c>
      <c r="AY155" s="12">
        <v>1</v>
      </c>
      <c r="AZ155" s="12">
        <v>1</v>
      </c>
      <c r="BA155" s="12">
        <v>2</v>
      </c>
      <c r="BB155" s="13">
        <v>715</v>
      </c>
      <c r="BC155" s="13">
        <v>925</v>
      </c>
      <c r="BD155" s="13">
        <v>21</v>
      </c>
      <c r="BE155" s="13">
        <v>0.28999999999999998</v>
      </c>
      <c r="BF155" s="13" t="s">
        <v>209</v>
      </c>
      <c r="BG155" s="13" t="s">
        <v>326</v>
      </c>
      <c r="BH155" s="13" t="s">
        <v>327</v>
      </c>
      <c r="BI155" s="13" t="s">
        <v>334</v>
      </c>
      <c r="BX155" s="9">
        <f t="shared" si="32"/>
        <v>2.5</v>
      </c>
      <c r="BY155" s="9">
        <f t="shared" si="33"/>
        <v>4</v>
      </c>
      <c r="BZ155" s="9">
        <f t="shared" si="34"/>
        <v>3</v>
      </c>
      <c r="CA155" s="9">
        <f t="shared" si="35"/>
        <v>3</v>
      </c>
      <c r="CB155" s="9">
        <f t="shared" si="36"/>
        <v>2</v>
      </c>
      <c r="CC155" s="9">
        <f t="shared" si="37"/>
        <v>2.6666666666666665</v>
      </c>
      <c r="CD155" s="9">
        <f t="shared" si="38"/>
        <v>2</v>
      </c>
      <c r="CE155" s="21">
        <f t="shared" si="39"/>
        <v>3.25</v>
      </c>
      <c r="CF155" s="21">
        <f t="shared" si="40"/>
        <v>4</v>
      </c>
      <c r="CG155" s="21">
        <f t="shared" si="41"/>
        <v>3.75</v>
      </c>
      <c r="CH155" s="21">
        <f t="shared" si="42"/>
        <v>3</v>
      </c>
      <c r="CI155" s="21">
        <f t="shared" si="43"/>
        <v>2.6666666666666665</v>
      </c>
      <c r="CJ155" s="21">
        <f t="shared" si="44"/>
        <v>3.3333333333333335</v>
      </c>
    </row>
    <row r="156" spans="1:88">
      <c r="A156" s="9">
        <v>155</v>
      </c>
      <c r="B156" s="9" t="s">
        <v>114</v>
      </c>
      <c r="C156" s="9" t="s">
        <v>85</v>
      </c>
      <c r="D156" s="9" t="s">
        <v>82</v>
      </c>
      <c r="E156" s="9" t="s">
        <v>78</v>
      </c>
      <c r="F156" s="9" t="s">
        <v>78</v>
      </c>
      <c r="H156" s="9" t="s">
        <v>65</v>
      </c>
      <c r="I156" s="9" t="s">
        <v>87</v>
      </c>
      <c r="J156" s="9" t="s">
        <v>65</v>
      </c>
      <c r="K156" s="9" t="s">
        <v>323</v>
      </c>
      <c r="N156" s="9" t="s">
        <v>70</v>
      </c>
      <c r="P156" s="10">
        <v>3</v>
      </c>
      <c r="Q156" s="10">
        <v>3</v>
      </c>
      <c r="R156" s="10">
        <v>3</v>
      </c>
      <c r="S156" s="10">
        <v>3</v>
      </c>
      <c r="T156" s="10">
        <v>3</v>
      </c>
      <c r="U156" s="10">
        <v>3</v>
      </c>
      <c r="V156" s="10">
        <v>3</v>
      </c>
      <c r="W156" s="11">
        <v>4.5</v>
      </c>
      <c r="X156" s="11">
        <v>5</v>
      </c>
      <c r="Y156" s="11">
        <v>5</v>
      </c>
      <c r="Z156" s="11">
        <v>5</v>
      </c>
      <c r="AA156" s="11">
        <v>5</v>
      </c>
      <c r="AB156" s="11">
        <v>5</v>
      </c>
      <c r="AC156" s="11">
        <v>4.916666666666667</v>
      </c>
      <c r="AD156" s="10"/>
      <c r="AE156" s="10"/>
      <c r="AF156" s="10"/>
      <c r="AG156" s="10"/>
      <c r="AH156" s="10"/>
      <c r="AI156" s="10"/>
      <c r="AJ156" s="10">
        <v>5</v>
      </c>
      <c r="AK156" s="10">
        <v>4</v>
      </c>
      <c r="AL156" s="10">
        <v>4</v>
      </c>
      <c r="AM156" s="10">
        <v>4</v>
      </c>
      <c r="AN156" s="10">
        <v>4</v>
      </c>
      <c r="AO156" s="10">
        <v>2.5</v>
      </c>
      <c r="AP156" s="10">
        <v>5</v>
      </c>
      <c r="AQ156" s="12">
        <v>2</v>
      </c>
      <c r="AR156" s="12">
        <v>2</v>
      </c>
      <c r="AS156" s="12">
        <v>2</v>
      </c>
      <c r="AT156" s="12">
        <v>3</v>
      </c>
      <c r="AU156" s="12">
        <v>3</v>
      </c>
      <c r="AV156" s="12">
        <v>2.4</v>
      </c>
      <c r="AW156" s="12">
        <v>3</v>
      </c>
      <c r="AX156" s="12">
        <v>2</v>
      </c>
      <c r="AY156" s="12">
        <v>2</v>
      </c>
      <c r="AZ156" s="12">
        <v>3</v>
      </c>
      <c r="BA156" s="12">
        <v>3</v>
      </c>
      <c r="BB156" s="13">
        <v>545</v>
      </c>
      <c r="BC156" s="13">
        <v>738</v>
      </c>
      <c r="BD156" s="13">
        <v>193</v>
      </c>
      <c r="BE156" s="13">
        <v>0.35</v>
      </c>
      <c r="BF156" s="13" t="s">
        <v>209</v>
      </c>
      <c r="BG156" s="13" t="s">
        <v>326</v>
      </c>
      <c r="BH156" s="13" t="s">
        <v>327</v>
      </c>
      <c r="BI156" s="13" t="s">
        <v>325</v>
      </c>
      <c r="BX156" s="9">
        <f t="shared" si="32"/>
        <v>4.5</v>
      </c>
      <c r="BY156" s="9">
        <f t="shared" si="33"/>
        <v>5</v>
      </c>
      <c r="BZ156" s="9">
        <f t="shared" si="34"/>
        <v>3</v>
      </c>
      <c r="CA156" s="9">
        <f t="shared" si="35"/>
        <v>4</v>
      </c>
      <c r="CB156" s="9">
        <f t="shared" si="36"/>
        <v>2.5</v>
      </c>
      <c r="CC156" s="9">
        <f t="shared" si="37"/>
        <v>5</v>
      </c>
      <c r="CD156" s="9">
        <f t="shared" si="38"/>
        <v>2.5</v>
      </c>
      <c r="CE156" s="21">
        <f t="shared" si="39"/>
        <v>4.916666666666667</v>
      </c>
      <c r="CF156" s="21">
        <f t="shared" si="40"/>
        <v>5</v>
      </c>
      <c r="CG156" s="21">
        <f t="shared" si="41"/>
        <v>3</v>
      </c>
      <c r="CH156" s="21">
        <f t="shared" si="42"/>
        <v>4</v>
      </c>
      <c r="CI156" s="21">
        <f t="shared" si="43"/>
        <v>5</v>
      </c>
      <c r="CJ156" s="21">
        <f t="shared" si="44"/>
        <v>4.3833333333333337</v>
      </c>
    </row>
    <row r="157" spans="1:88">
      <c r="A157" s="9">
        <v>156</v>
      </c>
      <c r="B157" s="9" t="s">
        <v>173</v>
      </c>
      <c r="C157" s="9" t="s">
        <v>174</v>
      </c>
      <c r="D157" s="9" t="s">
        <v>175</v>
      </c>
      <c r="E157" s="9" t="s">
        <v>78</v>
      </c>
      <c r="H157" s="9" t="s">
        <v>69</v>
      </c>
      <c r="I157" s="9" t="s">
        <v>65</v>
      </c>
      <c r="K157" s="9" t="s">
        <v>92</v>
      </c>
      <c r="L157" s="9" t="s">
        <v>70</v>
      </c>
      <c r="P157" s="10">
        <v>4</v>
      </c>
      <c r="Q157" s="10">
        <v>4</v>
      </c>
      <c r="R157" s="10">
        <v>4</v>
      </c>
      <c r="S157" s="10">
        <v>4</v>
      </c>
      <c r="T157" s="10">
        <v>4</v>
      </c>
      <c r="U157" s="10">
        <v>4</v>
      </c>
      <c r="V157" s="10">
        <v>4</v>
      </c>
      <c r="W157" s="11">
        <v>4.5</v>
      </c>
      <c r="X157" s="11">
        <v>5</v>
      </c>
      <c r="Y157" s="11">
        <v>4</v>
      </c>
      <c r="Z157" s="11">
        <v>5</v>
      </c>
      <c r="AA157" s="11">
        <v>5</v>
      </c>
      <c r="AB157" s="11">
        <v>5</v>
      </c>
      <c r="AC157" s="11">
        <v>4.75</v>
      </c>
      <c r="AD157" s="10"/>
      <c r="AE157" s="10"/>
      <c r="AF157" s="10"/>
      <c r="AG157" s="10"/>
      <c r="AH157" s="10"/>
      <c r="AI157" s="10"/>
      <c r="AJ157" s="10"/>
      <c r="AK157" s="10">
        <v>3</v>
      </c>
      <c r="AL157" s="10">
        <v>4</v>
      </c>
      <c r="AM157" s="10"/>
      <c r="AN157" s="10">
        <v>3.5</v>
      </c>
      <c r="AO157" s="10">
        <v>5</v>
      </c>
      <c r="AP157" s="10">
        <v>4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X157" s="9">
        <f t="shared" si="32"/>
        <v>4</v>
      </c>
      <c r="BY157" s="9">
        <f t="shared" si="33"/>
        <v>0</v>
      </c>
      <c r="BZ157" s="9">
        <f t="shared" si="34"/>
        <v>4</v>
      </c>
      <c r="CA157" s="9">
        <f t="shared" si="35"/>
        <v>3</v>
      </c>
      <c r="CB157" s="9">
        <f t="shared" si="36"/>
        <v>5</v>
      </c>
      <c r="CC157" s="9">
        <f t="shared" si="37"/>
        <v>4</v>
      </c>
      <c r="CD157" s="9">
        <f t="shared" si="38"/>
        <v>0</v>
      </c>
      <c r="CE157" s="21">
        <f t="shared" si="39"/>
        <v>4.75</v>
      </c>
      <c r="CF157" s="21">
        <f t="shared" si="40"/>
        <v>0</v>
      </c>
      <c r="CG157" s="21">
        <f t="shared" si="41"/>
        <v>4</v>
      </c>
      <c r="CH157" s="21">
        <f t="shared" si="42"/>
        <v>3.5</v>
      </c>
      <c r="CI157" s="21">
        <f t="shared" si="43"/>
        <v>4</v>
      </c>
      <c r="CJ157" s="21">
        <f t="shared" si="44"/>
        <v>3.25</v>
      </c>
    </row>
    <row r="158" spans="1:88">
      <c r="A158" s="9">
        <v>157</v>
      </c>
      <c r="B158" s="9" t="s">
        <v>95</v>
      </c>
      <c r="D158" s="9" t="s">
        <v>111</v>
      </c>
      <c r="E158" s="9" t="s">
        <v>63</v>
      </c>
      <c r="F158" s="9" t="s">
        <v>64</v>
      </c>
      <c r="H158" s="9" t="s">
        <v>69</v>
      </c>
      <c r="I158" s="9" t="s">
        <v>69</v>
      </c>
      <c r="K158" s="9" t="s">
        <v>92</v>
      </c>
      <c r="L158" s="9" t="s">
        <v>70</v>
      </c>
      <c r="P158" s="10">
        <v>3</v>
      </c>
      <c r="Q158" s="10">
        <v>3</v>
      </c>
      <c r="R158" s="10">
        <v>3</v>
      </c>
      <c r="S158" s="10">
        <v>3</v>
      </c>
      <c r="T158" s="10">
        <v>3</v>
      </c>
      <c r="U158" s="10">
        <v>3</v>
      </c>
      <c r="V158" s="10">
        <v>3</v>
      </c>
      <c r="W158" s="11">
        <v>5</v>
      </c>
      <c r="X158" s="11">
        <v>5</v>
      </c>
      <c r="Y158" s="11">
        <v>5</v>
      </c>
      <c r="Z158" s="11">
        <v>5</v>
      </c>
      <c r="AA158" s="11">
        <v>5</v>
      </c>
      <c r="AB158" s="11">
        <v>5</v>
      </c>
      <c r="AC158" s="11">
        <v>5</v>
      </c>
      <c r="AD158" s="10"/>
      <c r="AE158" s="10"/>
      <c r="AF158" s="10"/>
      <c r="AG158" s="10"/>
      <c r="AH158" s="10"/>
      <c r="AI158" s="10"/>
      <c r="AJ158" s="10"/>
      <c r="AK158" s="10">
        <v>4</v>
      </c>
      <c r="AL158" s="10">
        <v>4</v>
      </c>
      <c r="AM158" s="10">
        <v>4</v>
      </c>
      <c r="AN158" s="10">
        <v>4</v>
      </c>
      <c r="AO158" s="10"/>
      <c r="AP158" s="10">
        <v>4.333333333333333</v>
      </c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X158" s="9">
        <f t="shared" si="32"/>
        <v>5</v>
      </c>
      <c r="BY158" s="9">
        <f t="shared" si="33"/>
        <v>0</v>
      </c>
      <c r="BZ158" s="9">
        <f t="shared" si="34"/>
        <v>3</v>
      </c>
      <c r="CA158" s="9">
        <f t="shared" si="35"/>
        <v>4</v>
      </c>
      <c r="CB158" s="9">
        <f t="shared" si="36"/>
        <v>0</v>
      </c>
      <c r="CC158" s="9">
        <f t="shared" si="37"/>
        <v>4.333333333333333</v>
      </c>
      <c r="CD158" s="9">
        <f t="shared" si="38"/>
        <v>0</v>
      </c>
      <c r="CE158" s="21">
        <f t="shared" si="39"/>
        <v>5</v>
      </c>
      <c r="CF158" s="21">
        <f t="shared" si="40"/>
        <v>0</v>
      </c>
      <c r="CG158" s="21">
        <f t="shared" si="41"/>
        <v>3</v>
      </c>
      <c r="CH158" s="21">
        <f t="shared" si="42"/>
        <v>4</v>
      </c>
      <c r="CI158" s="21">
        <f t="shared" si="43"/>
        <v>4.333333333333333</v>
      </c>
      <c r="CJ158" s="21">
        <f t="shared" si="44"/>
        <v>3.2666666666666666</v>
      </c>
    </row>
    <row r="159" spans="1:88">
      <c r="A159" s="9">
        <v>158</v>
      </c>
      <c r="B159" s="9" t="s">
        <v>114</v>
      </c>
      <c r="C159" s="9" t="s">
        <v>115</v>
      </c>
      <c r="D159" s="9" t="s">
        <v>86</v>
      </c>
      <c r="E159" s="9" t="s">
        <v>63</v>
      </c>
      <c r="H159" s="9" t="s">
        <v>65</v>
      </c>
      <c r="I159" s="9" t="s">
        <v>83</v>
      </c>
      <c r="J159" s="9" t="s">
        <v>65</v>
      </c>
      <c r="K159" s="9" t="s">
        <v>92</v>
      </c>
      <c r="L159" s="9" t="s">
        <v>70</v>
      </c>
      <c r="P159" s="10">
        <v>5</v>
      </c>
      <c r="Q159" s="10">
        <v>5</v>
      </c>
      <c r="R159" s="10">
        <v>4</v>
      </c>
      <c r="S159" s="10">
        <v>5</v>
      </c>
      <c r="T159" s="10">
        <v>4.5</v>
      </c>
      <c r="U159" s="10">
        <v>5</v>
      </c>
      <c r="V159" s="10">
        <v>4.75</v>
      </c>
      <c r="W159" s="11">
        <v>5</v>
      </c>
      <c r="X159" s="11">
        <v>5</v>
      </c>
      <c r="Y159" s="11">
        <v>5</v>
      </c>
      <c r="Z159" s="11">
        <v>5</v>
      </c>
      <c r="AA159" s="11">
        <v>5</v>
      </c>
      <c r="AB159" s="11">
        <v>5</v>
      </c>
      <c r="AC159" s="11">
        <v>5</v>
      </c>
      <c r="AD159" s="10"/>
      <c r="AE159" s="10"/>
      <c r="AF159" s="10"/>
      <c r="AG159" s="10"/>
      <c r="AH159" s="10"/>
      <c r="AI159" s="10"/>
      <c r="AJ159" s="10"/>
      <c r="AK159" s="10">
        <v>5</v>
      </c>
      <c r="AL159" s="10">
        <v>5</v>
      </c>
      <c r="AM159" s="10"/>
      <c r="AN159" s="10">
        <v>5</v>
      </c>
      <c r="AO159" s="10">
        <v>4</v>
      </c>
      <c r="AP159" s="10">
        <v>5</v>
      </c>
      <c r="AQ159" s="12">
        <v>3</v>
      </c>
      <c r="AR159" s="12">
        <v>3</v>
      </c>
      <c r="AS159" s="12">
        <v>2</v>
      </c>
      <c r="AT159" s="12">
        <v>3</v>
      </c>
      <c r="AU159" s="12">
        <v>2</v>
      </c>
      <c r="AV159" s="12">
        <v>2.6</v>
      </c>
      <c r="AW159" s="12">
        <v>1</v>
      </c>
      <c r="AX159" s="12">
        <v>1</v>
      </c>
      <c r="AY159" s="12">
        <v>3</v>
      </c>
      <c r="AZ159" s="12">
        <v>3</v>
      </c>
      <c r="BA159" s="12">
        <v>3</v>
      </c>
      <c r="BB159" s="13">
        <v>41</v>
      </c>
      <c r="BC159" s="13">
        <v>816</v>
      </c>
      <c r="BD159" s="13">
        <v>415</v>
      </c>
      <c r="BE159" s="13">
        <v>1.03</v>
      </c>
      <c r="BF159" s="13" t="s">
        <v>209</v>
      </c>
      <c r="BG159" s="13" t="s">
        <v>326</v>
      </c>
      <c r="BH159" s="13" t="s">
        <v>327</v>
      </c>
      <c r="BI159" s="13" t="s">
        <v>325</v>
      </c>
      <c r="BX159" s="9">
        <f t="shared" si="32"/>
        <v>5</v>
      </c>
      <c r="BY159" s="9">
        <f t="shared" si="33"/>
        <v>0</v>
      </c>
      <c r="BZ159" s="9">
        <f t="shared" si="34"/>
        <v>4</v>
      </c>
      <c r="CA159" s="9">
        <f t="shared" si="35"/>
        <v>5</v>
      </c>
      <c r="CB159" s="9">
        <f t="shared" si="36"/>
        <v>4</v>
      </c>
      <c r="CC159" s="9">
        <f t="shared" si="37"/>
        <v>5</v>
      </c>
      <c r="CD159" s="9">
        <f t="shared" si="38"/>
        <v>0</v>
      </c>
      <c r="CE159" s="21">
        <f t="shared" si="39"/>
        <v>5</v>
      </c>
      <c r="CF159" s="21">
        <f t="shared" si="40"/>
        <v>0</v>
      </c>
      <c r="CG159" s="21">
        <f t="shared" si="41"/>
        <v>4.75</v>
      </c>
      <c r="CH159" s="21">
        <f t="shared" si="42"/>
        <v>5</v>
      </c>
      <c r="CI159" s="21">
        <f t="shared" si="43"/>
        <v>5</v>
      </c>
      <c r="CJ159" s="21">
        <f t="shared" si="44"/>
        <v>3.95</v>
      </c>
    </row>
    <row r="160" spans="1:88">
      <c r="A160" s="9">
        <v>159</v>
      </c>
      <c r="B160" s="9" t="s">
        <v>176</v>
      </c>
      <c r="C160" s="9" t="s">
        <v>177</v>
      </c>
      <c r="D160" s="9" t="s">
        <v>72</v>
      </c>
      <c r="E160" s="9" t="s">
        <v>78</v>
      </c>
      <c r="F160" s="9" t="s">
        <v>64</v>
      </c>
      <c r="H160" s="9" t="s">
        <v>65</v>
      </c>
      <c r="I160" s="9" t="s">
        <v>65</v>
      </c>
      <c r="K160" s="9" t="s">
        <v>322</v>
      </c>
      <c r="N160" s="9" t="s">
        <v>70</v>
      </c>
      <c r="O160" s="9" t="s">
        <v>70</v>
      </c>
      <c r="P160" s="10">
        <v>3</v>
      </c>
      <c r="Q160" s="10">
        <v>5</v>
      </c>
      <c r="R160" s="10">
        <v>5</v>
      </c>
      <c r="S160" s="10">
        <v>5</v>
      </c>
      <c r="T160" s="10">
        <v>5</v>
      </c>
      <c r="U160" s="10">
        <v>5</v>
      </c>
      <c r="V160" s="10">
        <v>4.666666666666667</v>
      </c>
      <c r="W160" s="11">
        <v>1</v>
      </c>
      <c r="X160" s="11">
        <v>2</v>
      </c>
      <c r="Y160" s="11">
        <v>3</v>
      </c>
      <c r="Z160" s="11">
        <v>3</v>
      </c>
      <c r="AA160" s="11">
        <v>3</v>
      </c>
      <c r="AB160" s="11">
        <v>3</v>
      </c>
      <c r="AC160" s="11">
        <v>2.5</v>
      </c>
      <c r="AD160" s="10"/>
      <c r="AE160" s="10"/>
      <c r="AF160" s="10"/>
      <c r="AG160" s="10"/>
      <c r="AH160" s="10"/>
      <c r="AI160" s="10"/>
      <c r="AJ160" s="10">
        <v>3</v>
      </c>
      <c r="AK160" s="10">
        <v>4</v>
      </c>
      <c r="AL160" s="10">
        <v>4</v>
      </c>
      <c r="AM160" s="10">
        <v>4</v>
      </c>
      <c r="AN160" s="10">
        <v>4</v>
      </c>
      <c r="AO160" s="10">
        <v>5</v>
      </c>
      <c r="AP160" s="10">
        <v>5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X160" s="9">
        <f t="shared" si="32"/>
        <v>1</v>
      </c>
      <c r="BY160" s="9">
        <f t="shared" si="33"/>
        <v>3</v>
      </c>
      <c r="BZ160" s="9">
        <f t="shared" si="34"/>
        <v>3</v>
      </c>
      <c r="CA160" s="9">
        <f t="shared" si="35"/>
        <v>4</v>
      </c>
      <c r="CB160" s="9">
        <f t="shared" si="36"/>
        <v>5</v>
      </c>
      <c r="CC160" s="9">
        <f t="shared" si="37"/>
        <v>5</v>
      </c>
      <c r="CD160" s="9">
        <f t="shared" si="38"/>
        <v>1</v>
      </c>
      <c r="CE160" s="21">
        <f t="shared" si="39"/>
        <v>2.5</v>
      </c>
      <c r="CF160" s="21">
        <f t="shared" si="40"/>
        <v>3</v>
      </c>
      <c r="CG160" s="21">
        <f t="shared" si="41"/>
        <v>4.666666666666667</v>
      </c>
      <c r="CH160" s="21">
        <f t="shared" si="42"/>
        <v>4</v>
      </c>
      <c r="CI160" s="21">
        <f t="shared" si="43"/>
        <v>5</v>
      </c>
      <c r="CJ160" s="21">
        <f t="shared" si="44"/>
        <v>3.8333333333333335</v>
      </c>
    </row>
    <row r="161" spans="1:88">
      <c r="A161" s="9">
        <v>160</v>
      </c>
      <c r="B161" s="9" t="s">
        <v>80</v>
      </c>
      <c r="C161" s="9" t="s">
        <v>178</v>
      </c>
      <c r="D161" s="9" t="s">
        <v>73</v>
      </c>
      <c r="E161" s="9" t="s">
        <v>105</v>
      </c>
      <c r="F161" s="9" t="s">
        <v>78</v>
      </c>
      <c r="H161" s="9" t="s">
        <v>65</v>
      </c>
      <c r="I161" s="9" t="s">
        <v>83</v>
      </c>
      <c r="K161" s="9" t="s">
        <v>322</v>
      </c>
      <c r="N161" s="9" t="s">
        <v>70</v>
      </c>
      <c r="O161" s="9" t="s">
        <v>70</v>
      </c>
      <c r="P161" s="10">
        <v>2</v>
      </c>
      <c r="Q161" s="10">
        <v>4</v>
      </c>
      <c r="R161" s="10">
        <v>4</v>
      </c>
      <c r="S161" s="10">
        <v>4</v>
      </c>
      <c r="T161" s="10">
        <v>4</v>
      </c>
      <c r="U161" s="10">
        <v>4</v>
      </c>
      <c r="V161" s="10">
        <v>3.6666666666666665</v>
      </c>
      <c r="W161" s="11">
        <v>1</v>
      </c>
      <c r="X161" s="11">
        <v>4</v>
      </c>
      <c r="Y161" s="11">
        <v>3</v>
      </c>
      <c r="Z161" s="11">
        <v>3.5</v>
      </c>
      <c r="AA161" s="11">
        <v>3.5</v>
      </c>
      <c r="AB161" s="11">
        <v>1</v>
      </c>
      <c r="AC161" s="11">
        <v>2.6666666666666665</v>
      </c>
      <c r="AD161" s="10"/>
      <c r="AE161" s="10"/>
      <c r="AF161" s="10"/>
      <c r="AG161" s="10"/>
      <c r="AH161" s="10"/>
      <c r="AI161" s="10"/>
      <c r="AJ161" s="10">
        <v>4</v>
      </c>
      <c r="AK161" s="10">
        <v>4</v>
      </c>
      <c r="AL161" s="10">
        <v>5</v>
      </c>
      <c r="AM161" s="10">
        <v>5</v>
      </c>
      <c r="AN161" s="10">
        <v>4.666666666666667</v>
      </c>
      <c r="AO161" s="10">
        <v>5</v>
      </c>
      <c r="AP161" s="10">
        <v>4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X161" s="9">
        <f t="shared" si="32"/>
        <v>1</v>
      </c>
      <c r="BY161" s="9">
        <f t="shared" si="33"/>
        <v>4</v>
      </c>
      <c r="BZ161" s="9">
        <f t="shared" si="34"/>
        <v>2</v>
      </c>
      <c r="CA161" s="9">
        <f t="shared" si="35"/>
        <v>4</v>
      </c>
      <c r="CB161" s="9">
        <f t="shared" si="36"/>
        <v>5</v>
      </c>
      <c r="CC161" s="9">
        <f t="shared" si="37"/>
        <v>4</v>
      </c>
      <c r="CD161" s="9">
        <f t="shared" si="38"/>
        <v>1</v>
      </c>
      <c r="CE161" s="21">
        <f t="shared" si="39"/>
        <v>2.6666666666666665</v>
      </c>
      <c r="CF161" s="21">
        <f t="shared" si="40"/>
        <v>4</v>
      </c>
      <c r="CG161" s="21">
        <f t="shared" si="41"/>
        <v>3.6666666666666665</v>
      </c>
      <c r="CH161" s="21">
        <f t="shared" si="42"/>
        <v>4.666666666666667</v>
      </c>
      <c r="CI161" s="21">
        <f t="shared" si="43"/>
        <v>4</v>
      </c>
      <c r="CJ161" s="21">
        <f t="shared" si="44"/>
        <v>3.8</v>
      </c>
    </row>
    <row r="162" spans="1:88">
      <c r="A162" s="9">
        <v>162</v>
      </c>
      <c r="B162" s="9" t="s">
        <v>155</v>
      </c>
      <c r="C162" s="9" t="s">
        <v>181</v>
      </c>
      <c r="D162" s="9" t="s">
        <v>73</v>
      </c>
      <c r="H162" s="9" t="s">
        <v>65</v>
      </c>
      <c r="I162" s="9" t="s">
        <v>83</v>
      </c>
      <c r="K162" s="9" t="s">
        <v>322</v>
      </c>
      <c r="N162" s="9" t="s">
        <v>70</v>
      </c>
      <c r="P162" s="10">
        <v>4</v>
      </c>
      <c r="Q162" s="10">
        <v>4</v>
      </c>
      <c r="R162" s="10">
        <v>3</v>
      </c>
      <c r="S162" s="10">
        <v>3</v>
      </c>
      <c r="T162" s="10">
        <v>3.5</v>
      </c>
      <c r="U162" s="10">
        <v>4</v>
      </c>
      <c r="V162" s="10">
        <v>3.5833333333333335</v>
      </c>
      <c r="W162" s="11">
        <v>1</v>
      </c>
      <c r="X162" s="11">
        <v>4</v>
      </c>
      <c r="Y162" s="11">
        <v>1</v>
      </c>
      <c r="Z162" s="11">
        <v>1</v>
      </c>
      <c r="AA162" s="11">
        <v>4</v>
      </c>
      <c r="AB162" s="11">
        <v>3</v>
      </c>
      <c r="AC162" s="11">
        <v>2.3333333333333335</v>
      </c>
      <c r="AD162" s="10"/>
      <c r="AE162" s="10"/>
      <c r="AF162" s="10"/>
      <c r="AG162" s="10"/>
      <c r="AH162" s="10"/>
      <c r="AI162" s="10"/>
      <c r="AJ162" s="10">
        <v>4</v>
      </c>
      <c r="AK162" s="10">
        <v>4</v>
      </c>
      <c r="AL162" s="10">
        <v>4</v>
      </c>
      <c r="AM162" s="10">
        <v>4</v>
      </c>
      <c r="AN162" s="10">
        <v>4</v>
      </c>
      <c r="AO162" s="10"/>
      <c r="AP162" s="10">
        <v>4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X162" s="9">
        <f t="shared" si="32"/>
        <v>1</v>
      </c>
      <c r="BY162" s="9">
        <f t="shared" si="33"/>
        <v>4</v>
      </c>
      <c r="BZ162" s="9">
        <f t="shared" si="34"/>
        <v>3</v>
      </c>
      <c r="CA162" s="9">
        <f t="shared" si="35"/>
        <v>4</v>
      </c>
      <c r="CB162" s="9">
        <f t="shared" si="36"/>
        <v>0</v>
      </c>
      <c r="CC162" s="9">
        <f t="shared" si="37"/>
        <v>4</v>
      </c>
      <c r="CD162" s="9">
        <f t="shared" si="38"/>
        <v>0</v>
      </c>
      <c r="CE162" s="21">
        <f t="shared" si="39"/>
        <v>2.3333333333333335</v>
      </c>
      <c r="CF162" s="21">
        <f t="shared" si="40"/>
        <v>4</v>
      </c>
      <c r="CG162" s="21">
        <f t="shared" si="41"/>
        <v>3.5833333333333335</v>
      </c>
      <c r="CH162" s="21">
        <f t="shared" si="42"/>
        <v>4</v>
      </c>
      <c r="CI162" s="21">
        <f t="shared" si="43"/>
        <v>4</v>
      </c>
      <c r="CJ162" s="21">
        <f t="shared" si="44"/>
        <v>3.5833333333333335</v>
      </c>
    </row>
    <row r="163" spans="1:88">
      <c r="A163" s="9">
        <v>163</v>
      </c>
      <c r="B163" s="9" t="s">
        <v>155</v>
      </c>
      <c r="C163" s="9" t="s">
        <v>98</v>
      </c>
      <c r="D163" s="9" t="s">
        <v>96</v>
      </c>
      <c r="H163" s="9" t="s">
        <v>65</v>
      </c>
      <c r="I163" s="9" t="s">
        <v>87</v>
      </c>
      <c r="J163" s="9" t="s">
        <v>69</v>
      </c>
      <c r="K163" s="9" t="s">
        <v>323</v>
      </c>
      <c r="N163" s="9" t="s">
        <v>70</v>
      </c>
      <c r="O163" s="9" t="s">
        <v>70</v>
      </c>
      <c r="P163" s="10">
        <v>3.5</v>
      </c>
      <c r="Q163" s="10">
        <v>4</v>
      </c>
      <c r="R163" s="10">
        <v>3</v>
      </c>
      <c r="S163" s="10">
        <v>3</v>
      </c>
      <c r="T163" s="10">
        <v>3</v>
      </c>
      <c r="U163" s="10">
        <v>3</v>
      </c>
      <c r="V163" s="10">
        <v>3.25</v>
      </c>
      <c r="W163" s="11">
        <v>3</v>
      </c>
      <c r="X163" s="11">
        <v>4</v>
      </c>
      <c r="Y163" s="11">
        <v>4</v>
      </c>
      <c r="Z163" s="11">
        <v>3.5</v>
      </c>
      <c r="AA163" s="11">
        <v>4</v>
      </c>
      <c r="AB163" s="11">
        <v>3</v>
      </c>
      <c r="AC163" s="11">
        <v>3.5833333333333335</v>
      </c>
      <c r="AD163" s="10"/>
      <c r="AE163" s="10"/>
      <c r="AF163" s="10"/>
      <c r="AG163" s="10"/>
      <c r="AH163" s="10"/>
      <c r="AI163" s="10"/>
      <c r="AJ163" s="10">
        <v>4</v>
      </c>
      <c r="AK163" s="10">
        <v>1</v>
      </c>
      <c r="AL163" s="10">
        <v>4</v>
      </c>
      <c r="AM163" s="10">
        <v>4</v>
      </c>
      <c r="AN163" s="10">
        <v>3</v>
      </c>
      <c r="AO163" s="10">
        <v>3.5</v>
      </c>
      <c r="AP163" s="10">
        <v>3</v>
      </c>
      <c r="AQ163" s="12">
        <v>1</v>
      </c>
      <c r="AR163" s="12">
        <v>2</v>
      </c>
      <c r="AS163" s="12">
        <v>1</v>
      </c>
      <c r="AT163" s="12">
        <v>2</v>
      </c>
      <c r="AU163" s="12">
        <v>1</v>
      </c>
      <c r="AV163" s="12">
        <v>1.4</v>
      </c>
      <c r="AW163" s="12">
        <v>2</v>
      </c>
      <c r="AX163" s="12">
        <v>1</v>
      </c>
      <c r="AY163" s="12">
        <v>2</v>
      </c>
      <c r="AZ163" s="12">
        <v>1</v>
      </c>
      <c r="BA163" s="12">
        <v>1</v>
      </c>
      <c r="BB163" s="13">
        <v>71</v>
      </c>
      <c r="BC163" s="13">
        <v>1196</v>
      </c>
      <c r="BD163" s="13">
        <v>486</v>
      </c>
      <c r="BE163" s="13">
        <v>0.68</v>
      </c>
      <c r="BF163" s="13" t="s">
        <v>217</v>
      </c>
      <c r="BG163" s="13" t="s">
        <v>324</v>
      </c>
      <c r="BI163" s="13" t="s">
        <v>328</v>
      </c>
      <c r="BX163" s="9">
        <f t="shared" si="32"/>
        <v>3</v>
      </c>
      <c r="BY163" s="9">
        <f t="shared" si="33"/>
        <v>4</v>
      </c>
      <c r="BZ163" s="9">
        <f t="shared" si="34"/>
        <v>3</v>
      </c>
      <c r="CA163" s="9">
        <f t="shared" si="35"/>
        <v>1</v>
      </c>
      <c r="CB163" s="9">
        <f t="shared" si="36"/>
        <v>3.5</v>
      </c>
      <c r="CC163" s="9">
        <f t="shared" si="37"/>
        <v>3</v>
      </c>
      <c r="CD163" s="9">
        <f t="shared" si="38"/>
        <v>1</v>
      </c>
      <c r="CE163" s="21">
        <f t="shared" si="39"/>
        <v>3.5833333333333335</v>
      </c>
      <c r="CF163" s="21">
        <f t="shared" si="40"/>
        <v>4</v>
      </c>
      <c r="CG163" s="21">
        <f t="shared" si="41"/>
        <v>3.25</v>
      </c>
      <c r="CH163" s="21">
        <f t="shared" si="42"/>
        <v>3</v>
      </c>
      <c r="CI163" s="21">
        <f t="shared" si="43"/>
        <v>3</v>
      </c>
      <c r="CJ163" s="21">
        <f t="shared" si="44"/>
        <v>3.3666666666666671</v>
      </c>
    </row>
    <row r="164" spans="1:88">
      <c r="A164" s="9">
        <v>164</v>
      </c>
      <c r="B164" s="9" t="s">
        <v>155</v>
      </c>
      <c r="C164" s="9" t="s">
        <v>181</v>
      </c>
      <c r="D164" s="9" t="s">
        <v>82</v>
      </c>
      <c r="E164" s="9" t="s">
        <v>78</v>
      </c>
      <c r="F164" s="9" t="s">
        <v>78</v>
      </c>
      <c r="H164" s="9" t="s">
        <v>65</v>
      </c>
      <c r="I164" s="9" t="s">
        <v>83</v>
      </c>
      <c r="K164" s="9" t="s">
        <v>322</v>
      </c>
      <c r="N164" s="9" t="s">
        <v>70</v>
      </c>
      <c r="P164" s="10">
        <v>3.5</v>
      </c>
      <c r="Q164" s="10">
        <v>3</v>
      </c>
      <c r="R164" s="10">
        <v>3</v>
      </c>
      <c r="S164" s="10">
        <v>3.5</v>
      </c>
      <c r="T164" s="10">
        <v>3</v>
      </c>
      <c r="U164" s="10">
        <v>3</v>
      </c>
      <c r="V164" s="10">
        <v>3.1666666666666665</v>
      </c>
      <c r="W164" s="11">
        <v>3</v>
      </c>
      <c r="X164" s="11">
        <v>3</v>
      </c>
      <c r="Y164" s="11">
        <v>3</v>
      </c>
      <c r="Z164" s="11">
        <v>3</v>
      </c>
      <c r="AA164" s="11">
        <v>3</v>
      </c>
      <c r="AB164" s="11">
        <v>3</v>
      </c>
      <c r="AC164" s="11">
        <v>3</v>
      </c>
      <c r="AD164" s="10"/>
      <c r="AE164" s="10"/>
      <c r="AF164" s="10"/>
      <c r="AG164" s="10"/>
      <c r="AH164" s="10"/>
      <c r="AI164" s="10"/>
      <c r="AJ164" s="10">
        <v>3</v>
      </c>
      <c r="AK164" s="10">
        <v>1</v>
      </c>
      <c r="AL164" s="10">
        <v>4</v>
      </c>
      <c r="AM164" s="10">
        <v>4</v>
      </c>
      <c r="AN164" s="10">
        <v>3</v>
      </c>
      <c r="AO164" s="10">
        <v>3</v>
      </c>
      <c r="AP164" s="10">
        <v>5</v>
      </c>
      <c r="AQ164" s="12">
        <v>2</v>
      </c>
      <c r="AR164" s="12">
        <v>3</v>
      </c>
      <c r="AS164" s="12">
        <v>3</v>
      </c>
      <c r="AT164" s="12">
        <v>2</v>
      </c>
      <c r="AU164" s="12">
        <v>2.5</v>
      </c>
      <c r="AV164" s="12">
        <v>2.5</v>
      </c>
      <c r="AW164" s="12">
        <v>3</v>
      </c>
      <c r="AX164" s="12">
        <v>3</v>
      </c>
      <c r="AY164" s="12">
        <v>2</v>
      </c>
      <c r="AZ164" s="12">
        <v>3</v>
      </c>
      <c r="BA164" s="12">
        <v>3</v>
      </c>
      <c r="BB164" s="13">
        <v>31</v>
      </c>
      <c r="BC164" s="13">
        <v>4</v>
      </c>
      <c r="BD164" s="13">
        <v>99</v>
      </c>
      <c r="BE164" s="13">
        <v>0.33</v>
      </c>
      <c r="BF164" s="13" t="s">
        <v>209</v>
      </c>
      <c r="BG164" s="13" t="s">
        <v>326</v>
      </c>
      <c r="BI164" s="13" t="s">
        <v>328</v>
      </c>
      <c r="BX164" s="9">
        <f t="shared" si="32"/>
        <v>3</v>
      </c>
      <c r="BY164" s="9">
        <f t="shared" si="33"/>
        <v>3</v>
      </c>
      <c r="BZ164" s="9">
        <f t="shared" si="34"/>
        <v>3</v>
      </c>
      <c r="CA164" s="9">
        <f t="shared" si="35"/>
        <v>1</v>
      </c>
      <c r="CB164" s="9">
        <f t="shared" si="36"/>
        <v>3</v>
      </c>
      <c r="CC164" s="9">
        <f t="shared" si="37"/>
        <v>5</v>
      </c>
      <c r="CD164" s="9">
        <f t="shared" si="38"/>
        <v>1</v>
      </c>
      <c r="CE164" s="21">
        <f t="shared" si="39"/>
        <v>3</v>
      </c>
      <c r="CF164" s="21">
        <f t="shared" si="40"/>
        <v>3</v>
      </c>
      <c r="CG164" s="21">
        <f t="shared" si="41"/>
        <v>3.1666666666666665</v>
      </c>
      <c r="CH164" s="21">
        <f t="shared" si="42"/>
        <v>3</v>
      </c>
      <c r="CI164" s="21">
        <f t="shared" si="43"/>
        <v>5</v>
      </c>
      <c r="CJ164" s="21">
        <f t="shared" si="44"/>
        <v>3.4333333333333327</v>
      </c>
    </row>
    <row r="165" spans="1:88">
      <c r="A165" s="9">
        <v>165</v>
      </c>
      <c r="B165" s="9" t="s">
        <v>155</v>
      </c>
      <c r="C165" s="9" t="s">
        <v>181</v>
      </c>
      <c r="D165" s="9" t="s">
        <v>96</v>
      </c>
      <c r="E165" s="9" t="s">
        <v>68</v>
      </c>
      <c r="F165" s="9" t="s">
        <v>64</v>
      </c>
      <c r="H165" s="9" t="s">
        <v>65</v>
      </c>
      <c r="I165" s="9" t="s">
        <v>83</v>
      </c>
      <c r="K165" s="9" t="s">
        <v>322</v>
      </c>
      <c r="N165" s="9" t="s">
        <v>70</v>
      </c>
      <c r="P165" s="10">
        <v>5</v>
      </c>
      <c r="Q165" s="10">
        <v>5</v>
      </c>
      <c r="R165" s="10">
        <v>4</v>
      </c>
      <c r="S165" s="10">
        <v>5</v>
      </c>
      <c r="T165" s="10">
        <v>4.5</v>
      </c>
      <c r="U165" s="10">
        <v>4</v>
      </c>
      <c r="V165" s="10">
        <v>4.583333333333333</v>
      </c>
      <c r="W165" s="11">
        <v>5</v>
      </c>
      <c r="X165" s="11">
        <v>5</v>
      </c>
      <c r="Y165" s="11">
        <v>5</v>
      </c>
      <c r="Z165" s="11">
        <v>5</v>
      </c>
      <c r="AA165" s="11">
        <v>5</v>
      </c>
      <c r="AB165" s="11">
        <v>5</v>
      </c>
      <c r="AC165" s="11">
        <v>5</v>
      </c>
      <c r="AD165" s="10"/>
      <c r="AE165" s="10"/>
      <c r="AF165" s="10"/>
      <c r="AG165" s="10"/>
      <c r="AH165" s="10"/>
      <c r="AI165" s="10"/>
      <c r="AJ165" s="10">
        <v>5</v>
      </c>
      <c r="AK165" s="10">
        <v>4</v>
      </c>
      <c r="AL165" s="10">
        <v>5</v>
      </c>
      <c r="AM165" s="10">
        <v>5</v>
      </c>
      <c r="AN165" s="10">
        <v>4.666666666666667</v>
      </c>
      <c r="AO165" s="10">
        <v>5</v>
      </c>
      <c r="AP165" s="10">
        <v>5</v>
      </c>
      <c r="AQ165" s="12">
        <v>3</v>
      </c>
      <c r="AR165" s="12">
        <v>3</v>
      </c>
      <c r="AS165" s="12">
        <v>3</v>
      </c>
      <c r="AT165" s="12">
        <v>3</v>
      </c>
      <c r="AU165" s="12">
        <v>1.5</v>
      </c>
      <c r="AV165" s="12">
        <v>2.7</v>
      </c>
      <c r="AW165" s="12">
        <v>3</v>
      </c>
      <c r="AX165" s="12">
        <v>3</v>
      </c>
      <c r="AY165" s="12">
        <v>3</v>
      </c>
      <c r="AZ165" s="12">
        <v>2</v>
      </c>
      <c r="BA165" s="12">
        <v>3</v>
      </c>
      <c r="BB165" s="13">
        <v>34</v>
      </c>
      <c r="BC165" s="13">
        <v>473</v>
      </c>
      <c r="BD165" s="13">
        <v>133</v>
      </c>
      <c r="BE165" s="13">
        <v>0.39</v>
      </c>
      <c r="BF165" s="13" t="s">
        <v>217</v>
      </c>
      <c r="BG165" s="13" t="s">
        <v>324</v>
      </c>
      <c r="BI165" s="13" t="s">
        <v>325</v>
      </c>
      <c r="BX165" s="9">
        <f t="shared" si="32"/>
        <v>5</v>
      </c>
      <c r="BY165" s="9">
        <f t="shared" si="33"/>
        <v>5</v>
      </c>
      <c r="BZ165" s="9">
        <f t="shared" si="34"/>
        <v>4</v>
      </c>
      <c r="CA165" s="9">
        <f t="shared" si="35"/>
        <v>4</v>
      </c>
      <c r="CB165" s="9">
        <f t="shared" si="36"/>
        <v>5</v>
      </c>
      <c r="CC165" s="9">
        <f t="shared" si="37"/>
        <v>5</v>
      </c>
      <c r="CD165" s="9">
        <f t="shared" si="38"/>
        <v>4</v>
      </c>
      <c r="CE165" s="21">
        <f t="shared" si="39"/>
        <v>5</v>
      </c>
      <c r="CF165" s="21">
        <f t="shared" si="40"/>
        <v>5</v>
      </c>
      <c r="CG165" s="21">
        <f t="shared" si="41"/>
        <v>4.583333333333333</v>
      </c>
      <c r="CH165" s="21">
        <f t="shared" si="42"/>
        <v>4.666666666666667</v>
      </c>
      <c r="CI165" s="21">
        <f t="shared" si="43"/>
        <v>5</v>
      </c>
      <c r="CJ165" s="21">
        <f t="shared" si="44"/>
        <v>4.8499999999999996</v>
      </c>
    </row>
    <row r="166" spans="1:88">
      <c r="A166" s="9">
        <v>166</v>
      </c>
      <c r="C166" s="9" t="s">
        <v>181</v>
      </c>
      <c r="D166" s="9" t="s">
        <v>96</v>
      </c>
      <c r="H166" s="9" t="s">
        <v>65</v>
      </c>
      <c r="I166" s="9" t="s">
        <v>83</v>
      </c>
      <c r="K166" s="9" t="s">
        <v>322</v>
      </c>
      <c r="N166" s="9" t="s">
        <v>70</v>
      </c>
      <c r="P166" s="10">
        <v>4</v>
      </c>
      <c r="Q166" s="10">
        <v>4</v>
      </c>
      <c r="S166" s="10">
        <v>4</v>
      </c>
      <c r="T166" s="10">
        <v>3.5</v>
      </c>
      <c r="U166" s="10">
        <v>3</v>
      </c>
      <c r="V166" s="10">
        <v>3.8333333333333002</v>
      </c>
      <c r="W166" s="11">
        <v>3</v>
      </c>
      <c r="X166" s="11">
        <v>4</v>
      </c>
      <c r="Y166" s="11">
        <v>3</v>
      </c>
      <c r="Z166" s="11">
        <v>3.5</v>
      </c>
      <c r="AA166" s="11">
        <v>3</v>
      </c>
      <c r="AB166" s="11">
        <v>3</v>
      </c>
      <c r="AC166" s="11">
        <v>3.25</v>
      </c>
      <c r="AD166" s="10"/>
      <c r="AE166" s="10"/>
      <c r="AF166" s="10"/>
      <c r="AG166" s="10"/>
      <c r="AH166" s="10"/>
      <c r="AI166" s="10"/>
      <c r="AJ166" s="10">
        <v>3</v>
      </c>
      <c r="AK166" s="10">
        <v>1</v>
      </c>
      <c r="AL166" s="10">
        <v>4</v>
      </c>
      <c r="AM166" s="10">
        <v>4</v>
      </c>
      <c r="AN166" s="10">
        <v>3</v>
      </c>
      <c r="AO166" s="10">
        <v>4</v>
      </c>
      <c r="AP166" s="10">
        <v>5</v>
      </c>
      <c r="AQ166" s="12">
        <v>3</v>
      </c>
      <c r="AR166" s="12">
        <v>3</v>
      </c>
      <c r="AS166" s="12">
        <v>3</v>
      </c>
      <c r="AT166" s="12">
        <v>2</v>
      </c>
      <c r="AU166" s="12">
        <v>2</v>
      </c>
      <c r="AV166" s="12">
        <v>2.6</v>
      </c>
      <c r="AW166" s="12">
        <v>3</v>
      </c>
      <c r="AX166" s="12">
        <v>3</v>
      </c>
      <c r="AY166" s="12">
        <v>3</v>
      </c>
      <c r="AZ166" s="12">
        <v>1</v>
      </c>
      <c r="BA166" s="12">
        <v>1</v>
      </c>
      <c r="BB166" s="13">
        <v>332</v>
      </c>
      <c r="BC166" s="13">
        <v>46</v>
      </c>
      <c r="BD166" s="13">
        <v>128</v>
      </c>
      <c r="BE166" s="13">
        <v>0.39</v>
      </c>
      <c r="BF166" s="13" t="s">
        <v>209</v>
      </c>
      <c r="BG166" s="13" t="s">
        <v>326</v>
      </c>
      <c r="BH166" s="13" t="s">
        <v>327</v>
      </c>
      <c r="BI166" s="13" t="s">
        <v>328</v>
      </c>
      <c r="BX166" s="9">
        <f t="shared" si="32"/>
        <v>3</v>
      </c>
      <c r="BY166" s="9">
        <f t="shared" si="33"/>
        <v>3</v>
      </c>
      <c r="BZ166" s="9">
        <f t="shared" si="34"/>
        <v>3</v>
      </c>
      <c r="CA166" s="9">
        <f t="shared" si="35"/>
        <v>1</v>
      </c>
      <c r="CB166" s="9">
        <f t="shared" si="36"/>
        <v>4</v>
      </c>
      <c r="CC166" s="9">
        <f t="shared" si="37"/>
        <v>5</v>
      </c>
      <c r="CD166" s="9">
        <f t="shared" si="38"/>
        <v>1</v>
      </c>
      <c r="CE166" s="21">
        <f t="shared" si="39"/>
        <v>3.25</v>
      </c>
      <c r="CF166" s="21">
        <f t="shared" si="40"/>
        <v>3</v>
      </c>
      <c r="CG166" s="21">
        <f t="shared" si="41"/>
        <v>3.8333333333333002</v>
      </c>
      <c r="CH166" s="21">
        <f t="shared" si="42"/>
        <v>3</v>
      </c>
      <c r="CI166" s="21">
        <f t="shared" si="43"/>
        <v>5</v>
      </c>
      <c r="CJ166" s="21">
        <f t="shared" si="44"/>
        <v>3.61666666666666</v>
      </c>
    </row>
    <row r="167" spans="1:88">
      <c r="A167" s="9">
        <v>167</v>
      </c>
      <c r="B167" s="9" t="s">
        <v>155</v>
      </c>
      <c r="C167" s="9" t="s">
        <v>181</v>
      </c>
      <c r="D167" s="9" t="s">
        <v>62</v>
      </c>
      <c r="E167" s="9" t="s">
        <v>78</v>
      </c>
      <c r="F167" s="9" t="s">
        <v>64</v>
      </c>
      <c r="H167" s="9" t="s">
        <v>65</v>
      </c>
      <c r="I167" s="9" t="s">
        <v>83</v>
      </c>
      <c r="K167" s="9" t="s">
        <v>322</v>
      </c>
      <c r="N167" s="9" t="s">
        <v>70</v>
      </c>
      <c r="P167" s="10">
        <v>4</v>
      </c>
      <c r="Q167" s="10">
        <v>4</v>
      </c>
      <c r="R167" s="10">
        <v>4</v>
      </c>
      <c r="S167" s="10">
        <v>4</v>
      </c>
      <c r="T167" s="10">
        <v>4</v>
      </c>
      <c r="U167" s="10">
        <v>3</v>
      </c>
      <c r="V167" s="10">
        <v>3.8333333333333335</v>
      </c>
      <c r="W167" s="11">
        <v>1</v>
      </c>
      <c r="X167" s="11">
        <v>1</v>
      </c>
      <c r="Y167" s="11">
        <v>1</v>
      </c>
      <c r="Z167" s="11">
        <v>4</v>
      </c>
      <c r="AA167" s="11">
        <v>4</v>
      </c>
      <c r="AB167" s="11">
        <v>3</v>
      </c>
      <c r="AC167" s="11">
        <v>2.3333333333333335</v>
      </c>
      <c r="AD167" s="10"/>
      <c r="AE167" s="10"/>
      <c r="AF167" s="10"/>
      <c r="AG167" s="10"/>
      <c r="AH167" s="10"/>
      <c r="AI167" s="10"/>
      <c r="AJ167" s="10">
        <v>4</v>
      </c>
      <c r="AK167" s="10">
        <v>4</v>
      </c>
      <c r="AL167" s="10">
        <v>4</v>
      </c>
      <c r="AM167" s="10">
        <v>4</v>
      </c>
      <c r="AN167" s="10">
        <v>4</v>
      </c>
      <c r="AO167" s="10">
        <v>4</v>
      </c>
      <c r="AP167" s="10">
        <v>5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X167" s="9">
        <f t="shared" si="32"/>
        <v>1</v>
      </c>
      <c r="BY167" s="9">
        <f t="shared" si="33"/>
        <v>4</v>
      </c>
      <c r="BZ167" s="9">
        <f t="shared" si="34"/>
        <v>3</v>
      </c>
      <c r="CA167" s="9">
        <f t="shared" si="35"/>
        <v>4</v>
      </c>
      <c r="CB167" s="9">
        <f t="shared" si="36"/>
        <v>4</v>
      </c>
      <c r="CC167" s="9">
        <f t="shared" si="37"/>
        <v>5</v>
      </c>
      <c r="CD167" s="9">
        <f t="shared" si="38"/>
        <v>1</v>
      </c>
      <c r="CE167" s="21">
        <f t="shared" si="39"/>
        <v>2.3333333333333335</v>
      </c>
      <c r="CF167" s="21">
        <f t="shared" si="40"/>
        <v>4</v>
      </c>
      <c r="CG167" s="21">
        <f t="shared" si="41"/>
        <v>3.8333333333333335</v>
      </c>
      <c r="CH167" s="21">
        <f t="shared" si="42"/>
        <v>4</v>
      </c>
      <c r="CI167" s="21">
        <f t="shared" si="43"/>
        <v>5</v>
      </c>
      <c r="CJ167" s="21">
        <f t="shared" si="44"/>
        <v>3.8333333333333335</v>
      </c>
    </row>
    <row r="168" spans="1:88">
      <c r="A168" s="9">
        <v>168</v>
      </c>
      <c r="B168" s="9" t="s">
        <v>155</v>
      </c>
      <c r="C168" s="9" t="s">
        <v>182</v>
      </c>
      <c r="D168" s="9" t="s">
        <v>97</v>
      </c>
      <c r="E168" s="9" t="s">
        <v>74</v>
      </c>
      <c r="F168" s="9" t="s">
        <v>78</v>
      </c>
      <c r="H168" s="9" t="s">
        <v>65</v>
      </c>
      <c r="I168" s="9" t="s">
        <v>83</v>
      </c>
      <c r="K168" s="9" t="s">
        <v>322</v>
      </c>
      <c r="N168" s="9" t="s">
        <v>70</v>
      </c>
      <c r="P168" s="10">
        <v>4</v>
      </c>
      <c r="Q168" s="10">
        <v>4</v>
      </c>
      <c r="R168" s="10">
        <v>4</v>
      </c>
      <c r="S168" s="10">
        <v>4</v>
      </c>
      <c r="T168" s="10">
        <v>4</v>
      </c>
      <c r="U168" s="10">
        <v>4</v>
      </c>
      <c r="V168" s="10">
        <v>4</v>
      </c>
      <c r="W168" s="11">
        <v>5</v>
      </c>
      <c r="X168" s="11">
        <v>5</v>
      </c>
      <c r="Y168" s="11">
        <v>5</v>
      </c>
      <c r="Z168" s="11">
        <v>5</v>
      </c>
      <c r="AA168" s="11">
        <v>5</v>
      </c>
      <c r="AB168" s="11">
        <v>5</v>
      </c>
      <c r="AC168" s="11">
        <v>5</v>
      </c>
      <c r="AD168" s="10"/>
      <c r="AE168" s="10"/>
      <c r="AF168" s="10"/>
      <c r="AG168" s="10"/>
      <c r="AH168" s="10"/>
      <c r="AI168" s="10"/>
      <c r="AJ168" s="10">
        <v>5</v>
      </c>
      <c r="AK168" s="10">
        <v>3</v>
      </c>
      <c r="AL168" s="10">
        <v>5</v>
      </c>
      <c r="AM168" s="10"/>
      <c r="AN168" s="10">
        <v>4</v>
      </c>
      <c r="AO168" s="10">
        <v>5</v>
      </c>
      <c r="AP168" s="10">
        <v>5</v>
      </c>
      <c r="AQ168" s="12">
        <v>3</v>
      </c>
      <c r="AR168" s="12">
        <v>3</v>
      </c>
      <c r="AS168" s="12">
        <v>3</v>
      </c>
      <c r="AT168" s="12">
        <v>2</v>
      </c>
      <c r="AU168" s="12">
        <v>3</v>
      </c>
      <c r="AV168" s="12">
        <v>2.8</v>
      </c>
      <c r="AW168" s="12">
        <v>1</v>
      </c>
      <c r="AX168" s="12">
        <v>3</v>
      </c>
      <c r="AY168" s="12">
        <v>1</v>
      </c>
      <c r="AZ168" s="12">
        <v>3</v>
      </c>
      <c r="BA168" s="12">
        <v>3</v>
      </c>
      <c r="BB168" s="13">
        <v>314</v>
      </c>
      <c r="BC168" s="13">
        <v>44</v>
      </c>
      <c r="BD168" s="13">
        <v>126</v>
      </c>
      <c r="BE168" s="13">
        <v>0.4</v>
      </c>
      <c r="BF168" s="13" t="s">
        <v>337</v>
      </c>
      <c r="BG168" s="13" t="s">
        <v>326</v>
      </c>
      <c r="BH168" s="13" t="s">
        <v>330</v>
      </c>
      <c r="BI168" s="13" t="s">
        <v>325</v>
      </c>
      <c r="BX168" s="9">
        <f t="shared" si="32"/>
        <v>5</v>
      </c>
      <c r="BY168" s="9">
        <f t="shared" si="33"/>
        <v>5</v>
      </c>
      <c r="BZ168" s="9">
        <f t="shared" si="34"/>
        <v>4</v>
      </c>
      <c r="CA168" s="9">
        <f t="shared" si="35"/>
        <v>3</v>
      </c>
      <c r="CB168" s="9">
        <f t="shared" si="36"/>
        <v>5</v>
      </c>
      <c r="CC168" s="9">
        <f t="shared" si="37"/>
        <v>5</v>
      </c>
      <c r="CD168" s="9">
        <f t="shared" si="38"/>
        <v>3</v>
      </c>
      <c r="CE168" s="21">
        <f t="shared" si="39"/>
        <v>5</v>
      </c>
      <c r="CF168" s="21">
        <f t="shared" si="40"/>
        <v>5</v>
      </c>
      <c r="CG168" s="21">
        <f t="shared" si="41"/>
        <v>4</v>
      </c>
      <c r="CH168" s="21">
        <f t="shared" si="42"/>
        <v>4</v>
      </c>
      <c r="CI168" s="21">
        <f t="shared" si="43"/>
        <v>5</v>
      </c>
      <c r="CJ168" s="21">
        <f t="shared" si="44"/>
        <v>4.5999999999999996</v>
      </c>
    </row>
    <row r="169" spans="1:88">
      <c r="A169" s="9">
        <v>169</v>
      </c>
      <c r="B169" s="9" t="s">
        <v>95</v>
      </c>
      <c r="D169" s="9" t="s">
        <v>183</v>
      </c>
      <c r="E169" s="9" t="s">
        <v>63</v>
      </c>
      <c r="F169" s="9" t="s">
        <v>78</v>
      </c>
      <c r="G169" s="9">
        <v>2020</v>
      </c>
      <c r="H169" s="9" t="s">
        <v>65</v>
      </c>
      <c r="I169" s="9" t="s">
        <v>65</v>
      </c>
      <c r="J169" s="9" t="s">
        <v>65</v>
      </c>
      <c r="K169" s="9" t="s">
        <v>323</v>
      </c>
      <c r="N169" s="9" t="s">
        <v>70</v>
      </c>
      <c r="P169" s="10">
        <v>4</v>
      </c>
      <c r="Q169" s="10">
        <v>4</v>
      </c>
      <c r="R169" s="10">
        <v>4</v>
      </c>
      <c r="S169" s="10">
        <v>4</v>
      </c>
      <c r="T169" s="10">
        <v>4</v>
      </c>
      <c r="U169" s="10">
        <v>4</v>
      </c>
      <c r="V169" s="10">
        <v>4</v>
      </c>
      <c r="W169" s="11">
        <v>2.5</v>
      </c>
      <c r="X169" s="11">
        <v>4</v>
      </c>
      <c r="Y169" s="11">
        <v>3</v>
      </c>
      <c r="Z169" s="11">
        <v>4</v>
      </c>
      <c r="AA169" s="11">
        <v>2.5</v>
      </c>
      <c r="AB169" s="11">
        <v>3</v>
      </c>
      <c r="AC169" s="11">
        <v>3.1666666666666665</v>
      </c>
      <c r="AD169" s="10"/>
      <c r="AE169" s="10"/>
      <c r="AF169" s="10"/>
      <c r="AG169" s="10"/>
      <c r="AH169" s="10"/>
      <c r="AI169" s="10"/>
      <c r="AJ169" s="10">
        <v>3</v>
      </c>
      <c r="AK169" s="10">
        <v>4</v>
      </c>
      <c r="AL169" s="10">
        <v>4</v>
      </c>
      <c r="AM169" s="10">
        <v>4</v>
      </c>
      <c r="AN169" s="10">
        <v>4</v>
      </c>
      <c r="AO169" s="10">
        <v>4</v>
      </c>
      <c r="AP169" s="10">
        <v>4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X169" s="9">
        <f t="shared" si="32"/>
        <v>2.5</v>
      </c>
      <c r="BY169" s="9">
        <f t="shared" si="33"/>
        <v>3</v>
      </c>
      <c r="BZ169" s="9">
        <f t="shared" si="34"/>
        <v>4</v>
      </c>
      <c r="CA169" s="9">
        <f t="shared" si="35"/>
        <v>4</v>
      </c>
      <c r="CB169" s="9">
        <f t="shared" si="36"/>
        <v>4</v>
      </c>
      <c r="CC169" s="9">
        <f t="shared" si="37"/>
        <v>4</v>
      </c>
      <c r="CD169" s="9">
        <f t="shared" si="38"/>
        <v>2.5</v>
      </c>
      <c r="CE169" s="21">
        <f t="shared" si="39"/>
        <v>3.1666666666666665</v>
      </c>
      <c r="CF169" s="21">
        <f t="shared" si="40"/>
        <v>3</v>
      </c>
      <c r="CG169" s="21">
        <f t="shared" si="41"/>
        <v>4</v>
      </c>
      <c r="CH169" s="21">
        <f t="shared" si="42"/>
        <v>4</v>
      </c>
      <c r="CI169" s="21">
        <f t="shared" si="43"/>
        <v>4</v>
      </c>
      <c r="CJ169" s="21">
        <f t="shared" si="44"/>
        <v>3.6333333333333329</v>
      </c>
    </row>
    <row r="170" spans="1:88">
      <c r="A170" s="9">
        <v>170</v>
      </c>
      <c r="B170" s="9" t="s">
        <v>155</v>
      </c>
      <c r="C170" s="9" t="s">
        <v>98</v>
      </c>
      <c r="D170" s="9" t="s">
        <v>128</v>
      </c>
      <c r="E170" s="9" t="s">
        <v>78</v>
      </c>
      <c r="F170" s="9" t="s">
        <v>78</v>
      </c>
      <c r="H170" s="9" t="s">
        <v>65</v>
      </c>
      <c r="I170" s="9" t="s">
        <v>87</v>
      </c>
      <c r="K170" s="9" t="s">
        <v>322</v>
      </c>
      <c r="N170" s="9" t="s">
        <v>70</v>
      </c>
      <c r="P170" s="10">
        <v>4</v>
      </c>
      <c r="Q170" s="10">
        <v>4</v>
      </c>
      <c r="R170" s="10">
        <v>3</v>
      </c>
      <c r="S170" s="10">
        <v>3.5</v>
      </c>
      <c r="T170" s="10">
        <v>3.5</v>
      </c>
      <c r="U170" s="10">
        <v>3</v>
      </c>
      <c r="V170" s="10">
        <v>3.5</v>
      </c>
      <c r="W170" s="11">
        <v>3.5</v>
      </c>
      <c r="X170" s="11">
        <v>4</v>
      </c>
      <c r="Y170" s="11">
        <v>3</v>
      </c>
      <c r="Z170" s="11">
        <v>3.5</v>
      </c>
      <c r="AA170" s="11">
        <v>4</v>
      </c>
      <c r="AB170" s="11">
        <v>4</v>
      </c>
      <c r="AC170" s="11">
        <v>3.6666666666666665</v>
      </c>
      <c r="AD170" s="10"/>
      <c r="AE170" s="10"/>
      <c r="AF170" s="10"/>
      <c r="AG170" s="10"/>
      <c r="AH170" s="10"/>
      <c r="AI170" s="10"/>
      <c r="AJ170" s="10">
        <v>3</v>
      </c>
      <c r="AK170" s="10">
        <v>1</v>
      </c>
      <c r="AL170" s="10">
        <v>4</v>
      </c>
      <c r="AM170" s="10">
        <v>4</v>
      </c>
      <c r="AN170" s="10">
        <v>3</v>
      </c>
      <c r="AO170" s="10">
        <v>4</v>
      </c>
      <c r="AP170" s="10">
        <v>4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X170" s="9">
        <f t="shared" si="32"/>
        <v>3</v>
      </c>
      <c r="BY170" s="9">
        <f t="shared" si="33"/>
        <v>3</v>
      </c>
      <c r="BZ170" s="9">
        <f t="shared" si="34"/>
        <v>3</v>
      </c>
      <c r="CA170" s="9">
        <f t="shared" si="35"/>
        <v>1</v>
      </c>
      <c r="CB170" s="9">
        <f t="shared" si="36"/>
        <v>4</v>
      </c>
      <c r="CC170" s="9">
        <f t="shared" si="37"/>
        <v>4</v>
      </c>
      <c r="CD170" s="9">
        <f t="shared" si="38"/>
        <v>1</v>
      </c>
      <c r="CE170" s="21">
        <f t="shared" si="39"/>
        <v>3.6666666666666665</v>
      </c>
      <c r="CF170" s="21">
        <f t="shared" si="40"/>
        <v>3</v>
      </c>
      <c r="CG170" s="21">
        <f t="shared" si="41"/>
        <v>3.5</v>
      </c>
      <c r="CH170" s="21">
        <f t="shared" si="42"/>
        <v>3</v>
      </c>
      <c r="CI170" s="21">
        <f t="shared" si="43"/>
        <v>4</v>
      </c>
      <c r="CJ170" s="21">
        <f t="shared" si="44"/>
        <v>3.4333333333333327</v>
      </c>
    </row>
    <row r="171" spans="1:88">
      <c r="A171" s="9">
        <v>171</v>
      </c>
      <c r="B171" s="9" t="s">
        <v>155</v>
      </c>
      <c r="C171" s="9" t="s">
        <v>181</v>
      </c>
      <c r="D171" s="9" t="s">
        <v>62</v>
      </c>
      <c r="E171" s="9" t="s">
        <v>74</v>
      </c>
      <c r="F171" s="9" t="s">
        <v>78</v>
      </c>
      <c r="H171" s="9" t="s">
        <v>65</v>
      </c>
      <c r="I171" s="9" t="s">
        <v>83</v>
      </c>
      <c r="K171" s="9" t="s">
        <v>322</v>
      </c>
      <c r="N171" s="9" t="s">
        <v>70</v>
      </c>
      <c r="P171" s="10">
        <v>2.5</v>
      </c>
      <c r="Q171" s="10">
        <v>4</v>
      </c>
      <c r="R171" s="10">
        <v>4</v>
      </c>
      <c r="S171" s="10">
        <v>4</v>
      </c>
      <c r="T171" s="10">
        <v>4</v>
      </c>
      <c r="U171" s="10">
        <v>3</v>
      </c>
      <c r="V171" s="10">
        <v>3.5833333333333335</v>
      </c>
      <c r="W171" s="11">
        <v>1</v>
      </c>
      <c r="X171" s="11">
        <v>3</v>
      </c>
      <c r="Y171" s="11">
        <v>3</v>
      </c>
      <c r="Z171" s="11">
        <v>3.5</v>
      </c>
      <c r="AA171" s="11">
        <v>4</v>
      </c>
      <c r="AB171" s="11">
        <v>3</v>
      </c>
      <c r="AC171" s="11">
        <v>2.9166666666666665</v>
      </c>
      <c r="AD171" s="10"/>
      <c r="AE171" s="10"/>
      <c r="AF171" s="10"/>
      <c r="AG171" s="10"/>
      <c r="AH171" s="10"/>
      <c r="AI171" s="10"/>
      <c r="AJ171" s="10">
        <v>4</v>
      </c>
      <c r="AK171" s="10">
        <v>4</v>
      </c>
      <c r="AL171" s="10">
        <v>4</v>
      </c>
      <c r="AM171" s="10">
        <v>4</v>
      </c>
      <c r="AN171" s="10">
        <v>4</v>
      </c>
      <c r="AO171" s="10">
        <v>4</v>
      </c>
      <c r="AP171" s="10">
        <v>4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X171" s="9">
        <f t="shared" si="32"/>
        <v>1</v>
      </c>
      <c r="BY171" s="9">
        <f t="shared" si="33"/>
        <v>4</v>
      </c>
      <c r="BZ171" s="9">
        <f t="shared" si="34"/>
        <v>2.5</v>
      </c>
      <c r="CA171" s="9">
        <f t="shared" si="35"/>
        <v>4</v>
      </c>
      <c r="CB171" s="9">
        <f t="shared" si="36"/>
        <v>4</v>
      </c>
      <c r="CC171" s="9">
        <f t="shared" si="37"/>
        <v>4</v>
      </c>
      <c r="CD171" s="9">
        <f t="shared" si="38"/>
        <v>1</v>
      </c>
      <c r="CE171" s="21">
        <f t="shared" si="39"/>
        <v>2.9166666666666665</v>
      </c>
      <c r="CF171" s="21">
        <f t="shared" si="40"/>
        <v>4</v>
      </c>
      <c r="CG171" s="21">
        <f t="shared" si="41"/>
        <v>3.5833333333333335</v>
      </c>
      <c r="CH171" s="21">
        <f t="shared" si="42"/>
        <v>4</v>
      </c>
      <c r="CI171" s="21">
        <f t="shared" si="43"/>
        <v>4</v>
      </c>
      <c r="CJ171" s="21">
        <f t="shared" si="44"/>
        <v>3.7</v>
      </c>
    </row>
    <row r="172" spans="1:88">
      <c r="A172" s="9">
        <v>172</v>
      </c>
      <c r="B172" s="9" t="s">
        <v>184</v>
      </c>
      <c r="D172" s="9" t="s">
        <v>86</v>
      </c>
      <c r="E172" s="9" t="s">
        <v>78</v>
      </c>
      <c r="H172" s="9" t="s">
        <v>65</v>
      </c>
      <c r="I172" s="9" t="s">
        <v>65</v>
      </c>
      <c r="J172" s="9" t="s">
        <v>65</v>
      </c>
      <c r="K172" s="9" t="s">
        <v>323</v>
      </c>
      <c r="P172" s="10">
        <v>4</v>
      </c>
      <c r="Q172" s="10">
        <v>4</v>
      </c>
      <c r="R172" s="10">
        <v>3</v>
      </c>
      <c r="S172" s="10">
        <v>4</v>
      </c>
      <c r="T172" s="10">
        <v>3.5</v>
      </c>
      <c r="U172" s="10">
        <v>3</v>
      </c>
      <c r="V172" s="10">
        <v>3.5833333333333335</v>
      </c>
      <c r="W172" s="11">
        <v>2.5</v>
      </c>
      <c r="X172" s="11">
        <v>3</v>
      </c>
      <c r="Y172" s="11">
        <v>3</v>
      </c>
      <c r="Z172" s="11">
        <v>3</v>
      </c>
      <c r="AA172" s="11">
        <v>3</v>
      </c>
      <c r="AB172" s="11">
        <v>3</v>
      </c>
      <c r="AC172" s="11">
        <v>2.9166666666666665</v>
      </c>
      <c r="AD172" s="10"/>
      <c r="AE172" s="10"/>
      <c r="AF172" s="10"/>
      <c r="AG172" s="10"/>
      <c r="AH172" s="10"/>
      <c r="AI172" s="10"/>
      <c r="AJ172" s="10">
        <v>3</v>
      </c>
      <c r="AK172" s="10">
        <v>4</v>
      </c>
      <c r="AL172" s="10">
        <v>4</v>
      </c>
      <c r="AM172" s="10">
        <v>4</v>
      </c>
      <c r="AN172" s="10">
        <v>4</v>
      </c>
      <c r="AO172" s="10"/>
      <c r="AP172" s="10">
        <v>4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X172" s="9">
        <f t="shared" si="32"/>
        <v>2.5</v>
      </c>
      <c r="BY172" s="9">
        <f t="shared" si="33"/>
        <v>3</v>
      </c>
      <c r="BZ172" s="9">
        <f t="shared" si="34"/>
        <v>3</v>
      </c>
      <c r="CA172" s="9">
        <f t="shared" si="35"/>
        <v>4</v>
      </c>
      <c r="CB172" s="9">
        <f t="shared" si="36"/>
        <v>0</v>
      </c>
      <c r="CC172" s="9">
        <f t="shared" si="37"/>
        <v>4</v>
      </c>
      <c r="CD172" s="9">
        <f t="shared" si="38"/>
        <v>0</v>
      </c>
      <c r="CE172" s="21">
        <f t="shared" si="39"/>
        <v>2.9166666666666665</v>
      </c>
      <c r="CF172" s="21">
        <f t="shared" si="40"/>
        <v>3</v>
      </c>
      <c r="CG172" s="21">
        <f t="shared" si="41"/>
        <v>3.5833333333333335</v>
      </c>
      <c r="CH172" s="21">
        <f t="shared" si="42"/>
        <v>4</v>
      </c>
      <c r="CI172" s="21">
        <f t="shared" si="43"/>
        <v>4</v>
      </c>
      <c r="CJ172" s="21">
        <f t="shared" si="44"/>
        <v>3.5</v>
      </c>
    </row>
    <row r="173" spans="1:88">
      <c r="A173" s="9">
        <v>173</v>
      </c>
      <c r="B173" s="9" t="s">
        <v>95</v>
      </c>
      <c r="D173" s="9" t="s">
        <v>72</v>
      </c>
      <c r="E173" s="9" t="s">
        <v>78</v>
      </c>
      <c r="F173" s="9" t="s">
        <v>78</v>
      </c>
      <c r="H173" s="9" t="s">
        <v>65</v>
      </c>
      <c r="I173" s="9" t="s">
        <v>65</v>
      </c>
      <c r="K173" s="9" t="s">
        <v>322</v>
      </c>
      <c r="N173" s="9" t="s">
        <v>70</v>
      </c>
      <c r="P173" s="10">
        <v>4</v>
      </c>
      <c r="Q173" s="10">
        <v>4</v>
      </c>
      <c r="R173" s="10">
        <v>3</v>
      </c>
      <c r="S173" s="10">
        <v>4</v>
      </c>
      <c r="T173" s="10">
        <v>4</v>
      </c>
      <c r="U173" s="10">
        <v>4</v>
      </c>
      <c r="V173" s="10">
        <v>3.8333333333333335</v>
      </c>
      <c r="W173" s="11">
        <v>3</v>
      </c>
      <c r="X173" s="11">
        <v>3</v>
      </c>
      <c r="Y173" s="11">
        <v>3</v>
      </c>
      <c r="Z173" s="11">
        <v>3</v>
      </c>
      <c r="AA173" s="11">
        <v>3</v>
      </c>
      <c r="AB173" s="11">
        <v>3</v>
      </c>
      <c r="AC173" s="11">
        <v>3</v>
      </c>
      <c r="AD173" s="10"/>
      <c r="AE173" s="10"/>
      <c r="AF173" s="10"/>
      <c r="AG173" s="10"/>
      <c r="AH173" s="10"/>
      <c r="AI173" s="10"/>
      <c r="AJ173" s="10">
        <v>4</v>
      </c>
      <c r="AK173" s="10">
        <v>3</v>
      </c>
      <c r="AL173" s="10">
        <v>3</v>
      </c>
      <c r="AM173" s="10">
        <v>4</v>
      </c>
      <c r="AN173" s="10">
        <v>3.3333333333333335</v>
      </c>
      <c r="AO173" s="10">
        <v>4</v>
      </c>
      <c r="AP173" s="10">
        <v>4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X173" s="9">
        <f t="shared" si="32"/>
        <v>3</v>
      </c>
      <c r="BY173" s="9">
        <f t="shared" si="33"/>
        <v>4</v>
      </c>
      <c r="BZ173" s="9">
        <f t="shared" si="34"/>
        <v>3</v>
      </c>
      <c r="CA173" s="9">
        <f t="shared" si="35"/>
        <v>3</v>
      </c>
      <c r="CB173" s="9">
        <f t="shared" si="36"/>
        <v>4</v>
      </c>
      <c r="CC173" s="9">
        <f t="shared" si="37"/>
        <v>4</v>
      </c>
      <c r="CD173" s="9">
        <f t="shared" si="38"/>
        <v>3</v>
      </c>
      <c r="CE173" s="21">
        <f t="shared" si="39"/>
        <v>3</v>
      </c>
      <c r="CF173" s="21">
        <f t="shared" si="40"/>
        <v>4</v>
      </c>
      <c r="CG173" s="21">
        <f t="shared" si="41"/>
        <v>3.8333333333333335</v>
      </c>
      <c r="CH173" s="21">
        <f t="shared" si="42"/>
        <v>3.3333333333333335</v>
      </c>
      <c r="CI173" s="21">
        <f t="shared" si="43"/>
        <v>4</v>
      </c>
      <c r="CJ173" s="21">
        <f t="shared" si="44"/>
        <v>3.6333333333333337</v>
      </c>
    </row>
    <row r="174" spans="1:88">
      <c r="A174" s="9">
        <v>174</v>
      </c>
      <c r="B174" s="9" t="s">
        <v>185</v>
      </c>
      <c r="D174" s="9" t="s">
        <v>96</v>
      </c>
      <c r="E174" s="9" t="s">
        <v>105</v>
      </c>
      <c r="H174" s="9" t="s">
        <v>65</v>
      </c>
      <c r="I174" s="9" t="s">
        <v>65</v>
      </c>
      <c r="J174" s="9" t="s">
        <v>69</v>
      </c>
      <c r="K174" s="9" t="s">
        <v>92</v>
      </c>
      <c r="L174" s="9" t="s">
        <v>70</v>
      </c>
      <c r="P174" s="10">
        <v>4</v>
      </c>
      <c r="Q174" s="10">
        <v>4</v>
      </c>
      <c r="R174" s="10">
        <v>4</v>
      </c>
      <c r="S174" s="10">
        <v>4</v>
      </c>
      <c r="T174" s="10">
        <v>4</v>
      </c>
      <c r="U174" s="10">
        <v>4</v>
      </c>
      <c r="V174" s="10">
        <v>4</v>
      </c>
      <c r="W174" s="11">
        <v>3.5</v>
      </c>
      <c r="X174" s="11">
        <v>3</v>
      </c>
      <c r="Y174" s="11">
        <v>3</v>
      </c>
      <c r="Z174" s="11">
        <v>2.5</v>
      </c>
      <c r="AA174" s="11">
        <v>3.5</v>
      </c>
      <c r="AB174" s="11">
        <v>4</v>
      </c>
      <c r="AC174" s="11">
        <v>3.25</v>
      </c>
      <c r="AD174" s="10"/>
      <c r="AE174" s="10"/>
      <c r="AF174" s="10"/>
      <c r="AG174" s="10"/>
      <c r="AH174" s="10"/>
      <c r="AI174" s="10"/>
      <c r="AJ174" s="10"/>
      <c r="AK174" s="10">
        <v>3</v>
      </c>
      <c r="AL174" s="10">
        <v>4</v>
      </c>
      <c r="AM174" s="10"/>
      <c r="AN174" s="10">
        <v>3.5</v>
      </c>
      <c r="AO174" s="10">
        <v>3.5</v>
      </c>
      <c r="AP174" s="10">
        <v>4</v>
      </c>
      <c r="AQ174" s="12">
        <v>2</v>
      </c>
      <c r="AR174" s="12">
        <v>3</v>
      </c>
      <c r="AS174" s="12">
        <v>2</v>
      </c>
      <c r="AT174" s="12">
        <v>2</v>
      </c>
      <c r="AU174" s="12">
        <v>3</v>
      </c>
      <c r="AV174" s="12">
        <v>2.4</v>
      </c>
      <c r="AW174" s="12">
        <v>2</v>
      </c>
      <c r="AX174" s="12">
        <v>2</v>
      </c>
      <c r="AY174" s="12">
        <v>1</v>
      </c>
      <c r="AZ174" s="12">
        <v>3</v>
      </c>
      <c r="BA174" s="12">
        <v>3</v>
      </c>
      <c r="BB174" s="13">
        <v>452</v>
      </c>
      <c r="BC174" s="13">
        <v>666</v>
      </c>
      <c r="BD174" s="13">
        <v>214</v>
      </c>
      <c r="BE174" s="13">
        <v>0.47</v>
      </c>
      <c r="BF174" s="13" t="s">
        <v>209</v>
      </c>
      <c r="BG174" s="13" t="s">
        <v>326</v>
      </c>
      <c r="BH174" s="13" t="s">
        <v>327</v>
      </c>
      <c r="BI174" s="13" t="s">
        <v>328</v>
      </c>
      <c r="BX174" s="9">
        <f t="shared" si="32"/>
        <v>2.5</v>
      </c>
      <c r="BY174" s="9">
        <f t="shared" si="33"/>
        <v>0</v>
      </c>
      <c r="BZ174" s="9">
        <f t="shared" si="34"/>
        <v>4</v>
      </c>
      <c r="CA174" s="9">
        <f t="shared" si="35"/>
        <v>3</v>
      </c>
      <c r="CB174" s="9">
        <f t="shared" si="36"/>
        <v>3.5</v>
      </c>
      <c r="CC174" s="9">
        <f t="shared" si="37"/>
        <v>4</v>
      </c>
      <c r="CD174" s="9">
        <f t="shared" si="38"/>
        <v>0</v>
      </c>
      <c r="CE174" s="21">
        <f t="shared" si="39"/>
        <v>3.25</v>
      </c>
      <c r="CF174" s="21">
        <f t="shared" si="40"/>
        <v>0</v>
      </c>
      <c r="CG174" s="21">
        <f t="shared" si="41"/>
        <v>4</v>
      </c>
      <c r="CH174" s="21">
        <f t="shared" si="42"/>
        <v>3.5</v>
      </c>
      <c r="CI174" s="21">
        <f t="shared" si="43"/>
        <v>4</v>
      </c>
      <c r="CJ174" s="21">
        <f t="shared" si="44"/>
        <v>2.95</v>
      </c>
    </row>
    <row r="175" spans="1:88">
      <c r="A175" s="9">
        <v>175</v>
      </c>
      <c r="B175" s="9" t="s">
        <v>114</v>
      </c>
      <c r="D175" s="9" t="s">
        <v>96</v>
      </c>
      <c r="E175" s="9" t="s">
        <v>78</v>
      </c>
      <c r="F175" s="9" t="s">
        <v>78</v>
      </c>
      <c r="H175" s="9" t="s">
        <v>65</v>
      </c>
      <c r="I175" s="9" t="s">
        <v>65</v>
      </c>
      <c r="K175" s="9" t="s">
        <v>322</v>
      </c>
      <c r="P175" s="10">
        <v>3.5</v>
      </c>
      <c r="Q175" s="10">
        <v>4</v>
      </c>
      <c r="R175" s="10">
        <v>4</v>
      </c>
      <c r="S175" s="10">
        <v>4</v>
      </c>
      <c r="T175" s="10">
        <v>4</v>
      </c>
      <c r="U175" s="10">
        <v>4</v>
      </c>
      <c r="V175" s="10">
        <v>3.9166666666666665</v>
      </c>
      <c r="W175" s="11">
        <v>1</v>
      </c>
      <c r="X175" s="11">
        <v>1</v>
      </c>
      <c r="Y175" s="11">
        <v>2</v>
      </c>
      <c r="Z175" s="11">
        <v>1.5</v>
      </c>
      <c r="AA175" s="11">
        <v>3</v>
      </c>
      <c r="AB175" s="11">
        <v>1</v>
      </c>
      <c r="AC175" s="11">
        <v>1.5833333333333333</v>
      </c>
      <c r="AD175" s="10"/>
      <c r="AE175" s="10"/>
      <c r="AF175" s="10"/>
      <c r="AG175" s="10"/>
      <c r="AH175" s="10"/>
      <c r="AI175" s="10"/>
      <c r="AJ175" s="10">
        <v>3</v>
      </c>
      <c r="AK175" s="10">
        <v>4</v>
      </c>
      <c r="AL175" s="10">
        <v>4</v>
      </c>
      <c r="AM175" s="10">
        <v>4</v>
      </c>
      <c r="AN175" s="10">
        <v>4</v>
      </c>
      <c r="AO175" s="10">
        <v>3.5</v>
      </c>
      <c r="AP175" s="10">
        <v>4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X175" s="9">
        <f t="shared" si="32"/>
        <v>1</v>
      </c>
      <c r="BY175" s="9">
        <f t="shared" si="33"/>
        <v>3</v>
      </c>
      <c r="BZ175" s="9">
        <f t="shared" si="34"/>
        <v>3.5</v>
      </c>
      <c r="CA175" s="9">
        <f t="shared" si="35"/>
        <v>4</v>
      </c>
      <c r="CB175" s="9">
        <f t="shared" si="36"/>
        <v>3.5</v>
      </c>
      <c r="CC175" s="9">
        <f t="shared" si="37"/>
        <v>4</v>
      </c>
      <c r="CD175" s="9">
        <f t="shared" si="38"/>
        <v>1</v>
      </c>
      <c r="CE175" s="21">
        <f t="shared" si="39"/>
        <v>1.5833333333333333</v>
      </c>
      <c r="CF175" s="21">
        <f t="shared" si="40"/>
        <v>3</v>
      </c>
      <c r="CG175" s="21">
        <f t="shared" si="41"/>
        <v>3.9166666666666665</v>
      </c>
      <c r="CH175" s="21">
        <f t="shared" si="42"/>
        <v>4</v>
      </c>
      <c r="CI175" s="21">
        <f t="shared" si="43"/>
        <v>4</v>
      </c>
      <c r="CJ175" s="21">
        <f t="shared" si="44"/>
        <v>3.3</v>
      </c>
    </row>
    <row r="176" spans="1:88">
      <c r="A176" s="9">
        <v>176</v>
      </c>
      <c r="B176" s="9" t="s">
        <v>155</v>
      </c>
      <c r="C176" s="9" t="s">
        <v>181</v>
      </c>
      <c r="D176" s="9" t="s">
        <v>73</v>
      </c>
      <c r="E176" s="9" t="s">
        <v>78</v>
      </c>
      <c r="F176" s="9" t="s">
        <v>78</v>
      </c>
      <c r="H176" s="9" t="s">
        <v>65</v>
      </c>
      <c r="I176" s="9" t="s">
        <v>83</v>
      </c>
      <c r="K176" s="9" t="s">
        <v>322</v>
      </c>
      <c r="N176" s="9" t="s">
        <v>70</v>
      </c>
      <c r="P176" s="10">
        <v>3</v>
      </c>
      <c r="Q176" s="10">
        <v>4</v>
      </c>
      <c r="R176" s="10">
        <v>4</v>
      </c>
      <c r="S176" s="10">
        <v>4</v>
      </c>
      <c r="T176" s="10">
        <v>4</v>
      </c>
      <c r="U176" s="10">
        <v>4</v>
      </c>
      <c r="V176" s="10">
        <v>3.8333333333333335</v>
      </c>
      <c r="W176" s="11">
        <v>1</v>
      </c>
      <c r="X176" s="11">
        <v>4</v>
      </c>
      <c r="Y176" s="11">
        <v>4</v>
      </c>
      <c r="Z176" s="11">
        <v>4</v>
      </c>
      <c r="AA176" s="11">
        <v>4</v>
      </c>
      <c r="AB176" s="11">
        <v>3</v>
      </c>
      <c r="AC176" s="11">
        <v>3.3333333333333335</v>
      </c>
      <c r="AD176" s="10"/>
      <c r="AE176" s="10"/>
      <c r="AF176" s="10"/>
      <c r="AG176" s="10"/>
      <c r="AH176" s="10"/>
      <c r="AI176" s="10"/>
      <c r="AJ176" s="10">
        <v>4</v>
      </c>
      <c r="AK176" s="10">
        <v>4</v>
      </c>
      <c r="AL176" s="10">
        <v>4</v>
      </c>
      <c r="AM176" s="10">
        <v>4</v>
      </c>
      <c r="AN176" s="10">
        <v>4</v>
      </c>
      <c r="AO176" s="10">
        <v>4</v>
      </c>
      <c r="AP176" s="10">
        <v>5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X176" s="9">
        <f t="shared" si="32"/>
        <v>1</v>
      </c>
      <c r="BY176" s="9">
        <f t="shared" si="33"/>
        <v>4</v>
      </c>
      <c r="BZ176" s="9">
        <f t="shared" si="34"/>
        <v>3</v>
      </c>
      <c r="CA176" s="9">
        <f t="shared" si="35"/>
        <v>4</v>
      </c>
      <c r="CB176" s="9">
        <f t="shared" si="36"/>
        <v>4</v>
      </c>
      <c r="CC176" s="9">
        <f t="shared" si="37"/>
        <v>5</v>
      </c>
      <c r="CD176" s="9">
        <f t="shared" si="38"/>
        <v>1</v>
      </c>
      <c r="CE176" s="21">
        <f t="shared" si="39"/>
        <v>3.3333333333333335</v>
      </c>
      <c r="CF176" s="21">
        <f t="shared" si="40"/>
        <v>4</v>
      </c>
      <c r="CG176" s="21">
        <f t="shared" si="41"/>
        <v>3.8333333333333335</v>
      </c>
      <c r="CH176" s="21">
        <f t="shared" si="42"/>
        <v>4</v>
      </c>
      <c r="CI176" s="21">
        <f t="shared" si="43"/>
        <v>5</v>
      </c>
      <c r="CJ176" s="21">
        <f t="shared" si="44"/>
        <v>4.0333333333333332</v>
      </c>
    </row>
    <row r="177" spans="1:88">
      <c r="A177" s="9">
        <v>177</v>
      </c>
      <c r="B177" s="9" t="s">
        <v>155</v>
      </c>
      <c r="C177" s="9" t="s">
        <v>85</v>
      </c>
      <c r="D177" s="9" t="s">
        <v>96</v>
      </c>
      <c r="E177" s="9" t="s">
        <v>105</v>
      </c>
      <c r="F177" s="9" t="s">
        <v>78</v>
      </c>
      <c r="H177" s="9" t="s">
        <v>65</v>
      </c>
      <c r="I177" s="9" t="s">
        <v>87</v>
      </c>
      <c r="J177" s="9" t="s">
        <v>65</v>
      </c>
      <c r="K177" s="9" t="s">
        <v>323</v>
      </c>
      <c r="N177" s="9" t="s">
        <v>70</v>
      </c>
      <c r="P177" s="10">
        <v>3</v>
      </c>
      <c r="Q177" s="10">
        <v>3</v>
      </c>
      <c r="R177" s="10">
        <v>3</v>
      </c>
      <c r="S177" s="10">
        <v>2</v>
      </c>
      <c r="T177" s="10">
        <v>3</v>
      </c>
      <c r="U177" s="10">
        <v>3</v>
      </c>
      <c r="V177" s="10">
        <v>2.8333333333333335</v>
      </c>
      <c r="W177" s="11">
        <v>3</v>
      </c>
      <c r="X177" s="11">
        <v>3</v>
      </c>
      <c r="Y177" s="11">
        <v>3</v>
      </c>
      <c r="Z177" s="11">
        <v>3</v>
      </c>
      <c r="AA177" s="11">
        <v>3</v>
      </c>
      <c r="AB177" s="11">
        <v>3</v>
      </c>
      <c r="AC177" s="11">
        <v>3</v>
      </c>
      <c r="AD177" s="10"/>
      <c r="AE177" s="10"/>
      <c r="AF177" s="10"/>
      <c r="AG177" s="10"/>
      <c r="AH177" s="10"/>
      <c r="AI177" s="10"/>
      <c r="AJ177" s="10">
        <v>2</v>
      </c>
      <c r="AK177" s="10">
        <v>4</v>
      </c>
      <c r="AL177" s="10">
        <v>4</v>
      </c>
      <c r="AM177" s="10">
        <v>4</v>
      </c>
      <c r="AN177" s="10">
        <v>4</v>
      </c>
      <c r="AO177" s="10">
        <v>4</v>
      </c>
      <c r="AP177" s="10">
        <v>4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X177" s="9">
        <f t="shared" si="32"/>
        <v>3</v>
      </c>
      <c r="BY177" s="9">
        <f t="shared" si="33"/>
        <v>2</v>
      </c>
      <c r="BZ177" s="9">
        <f t="shared" si="34"/>
        <v>2</v>
      </c>
      <c r="CA177" s="9">
        <f t="shared" si="35"/>
        <v>4</v>
      </c>
      <c r="CB177" s="9">
        <f t="shared" si="36"/>
        <v>4</v>
      </c>
      <c r="CC177" s="9">
        <f t="shared" si="37"/>
        <v>4</v>
      </c>
      <c r="CD177" s="9">
        <f t="shared" si="38"/>
        <v>2</v>
      </c>
      <c r="CE177" s="21">
        <f t="shared" si="39"/>
        <v>3</v>
      </c>
      <c r="CF177" s="21">
        <f t="shared" si="40"/>
        <v>2</v>
      </c>
      <c r="CG177" s="21">
        <f t="shared" si="41"/>
        <v>2.8333333333333335</v>
      </c>
      <c r="CH177" s="21">
        <f t="shared" si="42"/>
        <v>4</v>
      </c>
      <c r="CI177" s="21">
        <f t="shared" si="43"/>
        <v>4</v>
      </c>
      <c r="CJ177" s="21">
        <f t="shared" si="44"/>
        <v>3.166666666666667</v>
      </c>
    </row>
    <row r="178" spans="1:88">
      <c r="A178" s="9">
        <v>178</v>
      </c>
      <c r="B178" s="9" t="s">
        <v>155</v>
      </c>
      <c r="C178" s="9" t="s">
        <v>186</v>
      </c>
      <c r="D178" s="9" t="s">
        <v>73</v>
      </c>
      <c r="E178" s="9" t="s">
        <v>105</v>
      </c>
      <c r="F178" s="9" t="s">
        <v>78</v>
      </c>
      <c r="H178" s="9" t="s">
        <v>65</v>
      </c>
      <c r="I178" s="9" t="s">
        <v>87</v>
      </c>
      <c r="J178" s="9" t="s">
        <v>69</v>
      </c>
      <c r="K178" s="9" t="s">
        <v>323</v>
      </c>
      <c r="N178" s="9" t="s">
        <v>70</v>
      </c>
      <c r="P178" s="10">
        <v>3</v>
      </c>
      <c r="Q178" s="10">
        <v>3</v>
      </c>
      <c r="R178" s="10">
        <v>3</v>
      </c>
      <c r="S178" s="10">
        <v>3</v>
      </c>
      <c r="T178" s="10">
        <v>3</v>
      </c>
      <c r="U178" s="10">
        <v>3</v>
      </c>
      <c r="V178" s="10">
        <v>3</v>
      </c>
      <c r="W178" s="11">
        <v>3</v>
      </c>
      <c r="X178" s="11">
        <v>3</v>
      </c>
      <c r="Y178" s="11">
        <v>3</v>
      </c>
      <c r="Z178" s="11">
        <v>3</v>
      </c>
      <c r="AA178" s="11">
        <v>3</v>
      </c>
      <c r="AB178" s="11">
        <v>2</v>
      </c>
      <c r="AC178" s="11">
        <v>2.8333333333333335</v>
      </c>
      <c r="AD178" s="10"/>
      <c r="AE178" s="10"/>
      <c r="AF178" s="10"/>
      <c r="AG178" s="10"/>
      <c r="AH178" s="10"/>
      <c r="AI178" s="10"/>
      <c r="AJ178" s="10">
        <v>1</v>
      </c>
      <c r="AK178" s="10">
        <v>1</v>
      </c>
      <c r="AL178" s="10">
        <v>4</v>
      </c>
      <c r="AM178" s="10">
        <v>4</v>
      </c>
      <c r="AN178" s="10">
        <v>3</v>
      </c>
      <c r="AO178" s="10">
        <v>1</v>
      </c>
      <c r="AP178" s="10">
        <v>3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X178" s="9">
        <f t="shared" si="32"/>
        <v>2</v>
      </c>
      <c r="BY178" s="9">
        <f t="shared" si="33"/>
        <v>1</v>
      </c>
      <c r="BZ178" s="9">
        <f t="shared" si="34"/>
        <v>3</v>
      </c>
      <c r="CA178" s="9">
        <f t="shared" si="35"/>
        <v>1</v>
      </c>
      <c r="CB178" s="9">
        <f t="shared" si="36"/>
        <v>1</v>
      </c>
      <c r="CC178" s="9">
        <f t="shared" si="37"/>
        <v>3</v>
      </c>
      <c r="CD178" s="9">
        <f t="shared" si="38"/>
        <v>1</v>
      </c>
      <c r="CE178" s="21">
        <f t="shared" si="39"/>
        <v>2.8333333333333335</v>
      </c>
      <c r="CF178" s="21">
        <f t="shared" si="40"/>
        <v>1</v>
      </c>
      <c r="CG178" s="21">
        <f t="shared" si="41"/>
        <v>3</v>
      </c>
      <c r="CH178" s="21">
        <f t="shared" si="42"/>
        <v>3</v>
      </c>
      <c r="CI178" s="21">
        <f t="shared" si="43"/>
        <v>3</v>
      </c>
      <c r="CJ178" s="21">
        <f t="shared" si="44"/>
        <v>2.5666666666666669</v>
      </c>
    </row>
    <row r="179" spans="1:88">
      <c r="A179" s="9">
        <v>179</v>
      </c>
      <c r="B179" s="9" t="s">
        <v>155</v>
      </c>
      <c r="C179" s="9" t="s">
        <v>181</v>
      </c>
      <c r="D179" s="9" t="s">
        <v>187</v>
      </c>
      <c r="E179" s="9" t="s">
        <v>74</v>
      </c>
      <c r="F179" s="9" t="s">
        <v>64</v>
      </c>
      <c r="H179" s="9" t="s">
        <v>65</v>
      </c>
      <c r="I179" s="9" t="s">
        <v>83</v>
      </c>
      <c r="K179" s="9" t="s">
        <v>322</v>
      </c>
      <c r="N179" s="9" t="s">
        <v>70</v>
      </c>
      <c r="P179" s="10">
        <v>4</v>
      </c>
      <c r="Q179" s="10">
        <v>4</v>
      </c>
      <c r="R179" s="10">
        <v>4</v>
      </c>
      <c r="S179" s="10">
        <v>3.5</v>
      </c>
      <c r="T179" s="10">
        <v>3.5</v>
      </c>
      <c r="U179" s="10">
        <v>4</v>
      </c>
      <c r="V179" s="10">
        <v>3.8333333333333335</v>
      </c>
      <c r="W179" s="11">
        <v>1</v>
      </c>
      <c r="X179" s="11">
        <v>2</v>
      </c>
      <c r="Y179" s="11">
        <v>4</v>
      </c>
      <c r="Z179" s="11">
        <v>3</v>
      </c>
      <c r="AA179" s="11">
        <v>4</v>
      </c>
      <c r="AB179" s="11">
        <v>4</v>
      </c>
      <c r="AC179" s="11">
        <v>3</v>
      </c>
      <c r="AD179" s="10"/>
      <c r="AE179" s="10"/>
      <c r="AF179" s="10"/>
      <c r="AG179" s="10"/>
      <c r="AH179" s="10"/>
      <c r="AI179" s="10"/>
      <c r="AJ179" s="10">
        <v>4</v>
      </c>
      <c r="AK179" s="10">
        <v>4</v>
      </c>
      <c r="AL179" s="10">
        <v>4</v>
      </c>
      <c r="AM179" s="10">
        <v>4</v>
      </c>
      <c r="AN179" s="10">
        <v>4</v>
      </c>
      <c r="AO179" s="10">
        <v>4</v>
      </c>
      <c r="AP179" s="10">
        <v>4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X179" s="9">
        <f t="shared" si="32"/>
        <v>1</v>
      </c>
      <c r="BY179" s="9">
        <f t="shared" si="33"/>
        <v>4</v>
      </c>
      <c r="BZ179" s="9">
        <f t="shared" si="34"/>
        <v>3.5</v>
      </c>
      <c r="CA179" s="9">
        <f t="shared" si="35"/>
        <v>4</v>
      </c>
      <c r="CB179" s="9">
        <f t="shared" si="36"/>
        <v>4</v>
      </c>
      <c r="CC179" s="9">
        <f t="shared" si="37"/>
        <v>4</v>
      </c>
      <c r="CD179" s="9">
        <f t="shared" si="38"/>
        <v>1</v>
      </c>
      <c r="CE179" s="21">
        <f t="shared" si="39"/>
        <v>3</v>
      </c>
      <c r="CF179" s="21">
        <f t="shared" si="40"/>
        <v>4</v>
      </c>
      <c r="CG179" s="21">
        <f t="shared" si="41"/>
        <v>3.8333333333333335</v>
      </c>
      <c r="CH179" s="21">
        <f t="shared" si="42"/>
        <v>4</v>
      </c>
      <c r="CI179" s="21">
        <f t="shared" si="43"/>
        <v>4</v>
      </c>
      <c r="CJ179" s="21">
        <f t="shared" si="44"/>
        <v>3.7666666666666671</v>
      </c>
    </row>
    <row r="180" spans="1:88">
      <c r="A180" s="9">
        <v>180</v>
      </c>
      <c r="B180" s="9" t="s">
        <v>155</v>
      </c>
      <c r="D180" s="9" t="s">
        <v>72</v>
      </c>
      <c r="E180" s="9" t="s">
        <v>78</v>
      </c>
      <c r="F180" s="9" t="s">
        <v>78</v>
      </c>
      <c r="H180" s="9" t="s">
        <v>65</v>
      </c>
      <c r="I180" s="9" t="s">
        <v>83</v>
      </c>
      <c r="K180" s="9" t="s">
        <v>322</v>
      </c>
      <c r="N180" s="9" t="s">
        <v>70</v>
      </c>
      <c r="P180" s="10">
        <v>4</v>
      </c>
      <c r="Q180" s="10">
        <v>4</v>
      </c>
      <c r="R180" s="10">
        <v>4</v>
      </c>
      <c r="S180" s="10">
        <v>4</v>
      </c>
      <c r="T180" s="10">
        <v>4</v>
      </c>
      <c r="U180" s="10">
        <v>4</v>
      </c>
      <c r="V180" s="10">
        <v>4</v>
      </c>
      <c r="W180" s="11">
        <v>1</v>
      </c>
      <c r="X180" s="11">
        <v>3</v>
      </c>
      <c r="Y180" s="11">
        <v>3</v>
      </c>
      <c r="Z180" s="11">
        <v>3.5</v>
      </c>
      <c r="AA180" s="11">
        <v>3</v>
      </c>
      <c r="AB180" s="11">
        <v>3</v>
      </c>
      <c r="AC180" s="11">
        <v>2.75</v>
      </c>
      <c r="AD180" s="10"/>
      <c r="AE180" s="10"/>
      <c r="AF180" s="10"/>
      <c r="AG180" s="10"/>
      <c r="AH180" s="10"/>
      <c r="AI180" s="10"/>
      <c r="AJ180" s="10">
        <v>4</v>
      </c>
      <c r="AK180" s="10">
        <v>4</v>
      </c>
      <c r="AL180" s="10">
        <v>4</v>
      </c>
      <c r="AM180" s="10"/>
      <c r="AN180" s="10">
        <v>4</v>
      </c>
      <c r="AO180" s="10"/>
      <c r="AP180" s="10">
        <v>4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X180" s="9">
        <f t="shared" si="32"/>
        <v>1</v>
      </c>
      <c r="BY180" s="9">
        <f t="shared" si="33"/>
        <v>4</v>
      </c>
      <c r="BZ180" s="9">
        <f t="shared" si="34"/>
        <v>4</v>
      </c>
      <c r="CA180" s="9">
        <f t="shared" si="35"/>
        <v>4</v>
      </c>
      <c r="CB180" s="9">
        <f t="shared" si="36"/>
        <v>0</v>
      </c>
      <c r="CC180" s="9">
        <f t="shared" si="37"/>
        <v>4</v>
      </c>
      <c r="CD180" s="9">
        <f t="shared" si="38"/>
        <v>0</v>
      </c>
      <c r="CE180" s="21">
        <f t="shared" si="39"/>
        <v>2.75</v>
      </c>
      <c r="CF180" s="21">
        <f t="shared" si="40"/>
        <v>4</v>
      </c>
      <c r="CG180" s="21">
        <f t="shared" si="41"/>
        <v>4</v>
      </c>
      <c r="CH180" s="21">
        <f t="shared" si="42"/>
        <v>4</v>
      </c>
      <c r="CI180" s="21">
        <f t="shared" si="43"/>
        <v>4</v>
      </c>
      <c r="CJ180" s="21">
        <f t="shared" si="44"/>
        <v>3.75</v>
      </c>
    </row>
    <row r="181" spans="1:88">
      <c r="A181" s="9">
        <v>181</v>
      </c>
      <c r="B181" s="9" t="s">
        <v>155</v>
      </c>
      <c r="C181" s="9" t="s">
        <v>181</v>
      </c>
      <c r="D181" s="9" t="s">
        <v>72</v>
      </c>
      <c r="H181" s="9" t="s">
        <v>65</v>
      </c>
      <c r="I181" s="9" t="s">
        <v>83</v>
      </c>
      <c r="K181" s="9" t="s">
        <v>322</v>
      </c>
      <c r="N181" s="9" t="s">
        <v>70</v>
      </c>
      <c r="P181" s="10">
        <v>3</v>
      </c>
      <c r="Q181" s="10">
        <v>3</v>
      </c>
      <c r="R181" s="10">
        <v>3</v>
      </c>
      <c r="S181" s="10">
        <v>3</v>
      </c>
      <c r="T181" s="10">
        <v>3</v>
      </c>
      <c r="U181" s="10">
        <v>3</v>
      </c>
      <c r="V181" s="10">
        <v>3</v>
      </c>
      <c r="W181" s="11">
        <v>1.5</v>
      </c>
      <c r="X181" s="11">
        <v>2</v>
      </c>
      <c r="Y181" s="11">
        <v>3</v>
      </c>
      <c r="Z181" s="11">
        <v>3</v>
      </c>
      <c r="AA181" s="11">
        <v>3</v>
      </c>
      <c r="AB181" s="11">
        <v>1</v>
      </c>
      <c r="AC181" s="11">
        <v>2.25</v>
      </c>
      <c r="AD181" s="10"/>
      <c r="AE181" s="10"/>
      <c r="AF181" s="10"/>
      <c r="AG181" s="10"/>
      <c r="AH181" s="10"/>
      <c r="AI181" s="10"/>
      <c r="AJ181" s="10">
        <v>4</v>
      </c>
      <c r="AK181" s="10">
        <v>4</v>
      </c>
      <c r="AL181" s="10">
        <v>4</v>
      </c>
      <c r="AM181" s="10">
        <v>4</v>
      </c>
      <c r="AN181" s="10">
        <v>4</v>
      </c>
      <c r="AO181" s="10">
        <v>3</v>
      </c>
      <c r="AP181" s="10">
        <v>4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X181" s="9">
        <f t="shared" si="32"/>
        <v>1</v>
      </c>
      <c r="BY181" s="9">
        <f t="shared" si="33"/>
        <v>4</v>
      </c>
      <c r="BZ181" s="9">
        <f t="shared" si="34"/>
        <v>3</v>
      </c>
      <c r="CA181" s="9">
        <f t="shared" si="35"/>
        <v>4</v>
      </c>
      <c r="CB181" s="9">
        <f t="shared" si="36"/>
        <v>3</v>
      </c>
      <c r="CC181" s="9">
        <f t="shared" si="37"/>
        <v>4</v>
      </c>
      <c r="CD181" s="9">
        <f t="shared" si="38"/>
        <v>1</v>
      </c>
      <c r="CE181" s="21">
        <f t="shared" si="39"/>
        <v>2.25</v>
      </c>
      <c r="CF181" s="21">
        <f t="shared" si="40"/>
        <v>4</v>
      </c>
      <c r="CG181" s="21">
        <f t="shared" si="41"/>
        <v>3</v>
      </c>
      <c r="CH181" s="21">
        <f t="shared" si="42"/>
        <v>4</v>
      </c>
      <c r="CI181" s="21">
        <f t="shared" si="43"/>
        <v>4</v>
      </c>
      <c r="CJ181" s="21">
        <f t="shared" si="44"/>
        <v>3.45</v>
      </c>
    </row>
    <row r="182" spans="1:88">
      <c r="A182" s="9">
        <v>182</v>
      </c>
      <c r="B182" s="9" t="s">
        <v>155</v>
      </c>
      <c r="C182" s="9" t="s">
        <v>134</v>
      </c>
      <c r="D182" s="9" t="s">
        <v>72</v>
      </c>
      <c r="E182" s="9" t="s">
        <v>74</v>
      </c>
      <c r="F182" s="9" t="s">
        <v>78</v>
      </c>
      <c r="H182" s="9" t="s">
        <v>65</v>
      </c>
      <c r="I182" s="9" t="s">
        <v>87</v>
      </c>
      <c r="K182" s="9" t="s">
        <v>322</v>
      </c>
      <c r="N182" s="9" t="s">
        <v>70</v>
      </c>
      <c r="P182" s="10">
        <v>3</v>
      </c>
      <c r="Q182" s="10">
        <v>3</v>
      </c>
      <c r="R182" s="10">
        <v>3</v>
      </c>
      <c r="S182" s="10">
        <v>3</v>
      </c>
      <c r="T182" s="10">
        <v>3</v>
      </c>
      <c r="U182" s="10">
        <v>3</v>
      </c>
      <c r="V182" s="10">
        <v>3</v>
      </c>
      <c r="W182" s="11">
        <v>2</v>
      </c>
      <c r="X182" s="11">
        <v>1</v>
      </c>
      <c r="Y182" s="11">
        <v>2</v>
      </c>
      <c r="Z182" s="11">
        <v>3</v>
      </c>
      <c r="AA182" s="11">
        <v>3.5</v>
      </c>
      <c r="AB182" s="11">
        <v>3</v>
      </c>
      <c r="AC182" s="11">
        <v>2.4166666666666665</v>
      </c>
      <c r="AD182" s="10"/>
      <c r="AE182" s="10"/>
      <c r="AF182" s="10"/>
      <c r="AG182" s="10"/>
      <c r="AH182" s="10"/>
      <c r="AI182" s="10"/>
      <c r="AJ182" s="10">
        <v>4</v>
      </c>
      <c r="AK182" s="10">
        <v>3</v>
      </c>
      <c r="AL182" s="10">
        <v>3</v>
      </c>
      <c r="AM182" s="10">
        <v>3</v>
      </c>
      <c r="AN182" s="10">
        <v>3</v>
      </c>
      <c r="AO182" s="10">
        <v>3</v>
      </c>
      <c r="AP182" s="10">
        <v>4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X182" s="9">
        <f t="shared" si="32"/>
        <v>1</v>
      </c>
      <c r="BY182" s="9">
        <f t="shared" si="33"/>
        <v>4</v>
      </c>
      <c r="BZ182" s="9">
        <f t="shared" si="34"/>
        <v>3</v>
      </c>
      <c r="CA182" s="9">
        <f t="shared" si="35"/>
        <v>3</v>
      </c>
      <c r="CB182" s="9">
        <f t="shared" si="36"/>
        <v>3</v>
      </c>
      <c r="CC182" s="9">
        <f t="shared" si="37"/>
        <v>4</v>
      </c>
      <c r="CD182" s="9">
        <f t="shared" si="38"/>
        <v>1</v>
      </c>
      <c r="CE182" s="21">
        <f t="shared" si="39"/>
        <v>2.4166666666666665</v>
      </c>
      <c r="CF182" s="21">
        <f t="shared" si="40"/>
        <v>4</v>
      </c>
      <c r="CG182" s="21">
        <f t="shared" si="41"/>
        <v>3</v>
      </c>
      <c r="CH182" s="21">
        <f t="shared" si="42"/>
        <v>3</v>
      </c>
      <c r="CI182" s="21">
        <f t="shared" si="43"/>
        <v>4</v>
      </c>
      <c r="CJ182" s="21">
        <f t="shared" si="44"/>
        <v>3.2833333333333328</v>
      </c>
    </row>
    <row r="183" spans="1:88">
      <c r="A183" s="9">
        <v>183</v>
      </c>
      <c r="B183" s="9" t="s">
        <v>155</v>
      </c>
      <c r="C183" s="9" t="s">
        <v>182</v>
      </c>
      <c r="D183" s="9" t="s">
        <v>72</v>
      </c>
      <c r="E183" s="9" t="s">
        <v>78</v>
      </c>
      <c r="F183" s="9" t="s">
        <v>78</v>
      </c>
      <c r="H183" s="9" t="s">
        <v>65</v>
      </c>
      <c r="I183" s="9" t="s">
        <v>83</v>
      </c>
      <c r="K183" s="9" t="s">
        <v>322</v>
      </c>
      <c r="N183" s="9" t="s">
        <v>70</v>
      </c>
      <c r="P183" s="10">
        <v>3</v>
      </c>
      <c r="Q183" s="10">
        <v>3</v>
      </c>
      <c r="R183" s="10">
        <v>3</v>
      </c>
      <c r="S183" s="10">
        <v>3</v>
      </c>
      <c r="T183" s="10">
        <v>3</v>
      </c>
      <c r="U183" s="10">
        <v>3</v>
      </c>
      <c r="V183" s="10">
        <v>3</v>
      </c>
      <c r="W183" s="11">
        <v>1</v>
      </c>
      <c r="X183" s="11">
        <v>1</v>
      </c>
      <c r="Y183" s="11">
        <v>1</v>
      </c>
      <c r="Z183" s="11">
        <v>2.5</v>
      </c>
      <c r="AA183" s="11">
        <v>1.5</v>
      </c>
      <c r="AB183" s="11">
        <v>1</v>
      </c>
      <c r="AC183" s="11">
        <v>1.3333333333333333</v>
      </c>
      <c r="AD183" s="10"/>
      <c r="AE183" s="10"/>
      <c r="AF183" s="10"/>
      <c r="AG183" s="10"/>
      <c r="AH183" s="10"/>
      <c r="AI183" s="10"/>
      <c r="AJ183" s="10">
        <v>2</v>
      </c>
      <c r="AK183" s="10">
        <v>4</v>
      </c>
      <c r="AL183" s="10">
        <v>4</v>
      </c>
      <c r="AM183" s="10">
        <v>4</v>
      </c>
      <c r="AN183" s="10">
        <v>4</v>
      </c>
      <c r="AO183" s="10">
        <v>4</v>
      </c>
      <c r="AP183" s="10">
        <v>4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X183" s="9">
        <f t="shared" si="32"/>
        <v>1</v>
      </c>
      <c r="BY183" s="9">
        <f t="shared" si="33"/>
        <v>2</v>
      </c>
      <c r="BZ183" s="9">
        <f t="shared" si="34"/>
        <v>3</v>
      </c>
      <c r="CA183" s="9">
        <f t="shared" si="35"/>
        <v>4</v>
      </c>
      <c r="CB183" s="9">
        <f t="shared" si="36"/>
        <v>4</v>
      </c>
      <c r="CC183" s="9">
        <f t="shared" si="37"/>
        <v>4</v>
      </c>
      <c r="CD183" s="9">
        <f t="shared" si="38"/>
        <v>1</v>
      </c>
      <c r="CE183" s="21">
        <f t="shared" si="39"/>
        <v>1.3333333333333333</v>
      </c>
      <c r="CF183" s="21">
        <f t="shared" si="40"/>
        <v>2</v>
      </c>
      <c r="CG183" s="21">
        <f t="shared" si="41"/>
        <v>3</v>
      </c>
      <c r="CH183" s="21">
        <f t="shared" si="42"/>
        <v>4</v>
      </c>
      <c r="CI183" s="21">
        <f t="shared" si="43"/>
        <v>4</v>
      </c>
      <c r="CJ183" s="21">
        <f t="shared" si="44"/>
        <v>2.8666666666666663</v>
      </c>
    </row>
    <row r="184" spans="1:88">
      <c r="A184" s="9">
        <v>184</v>
      </c>
      <c r="B184" s="9" t="s">
        <v>151</v>
      </c>
      <c r="C184" s="9" t="s">
        <v>98</v>
      </c>
      <c r="D184" s="9" t="s">
        <v>72</v>
      </c>
      <c r="E184" s="9" t="s">
        <v>105</v>
      </c>
      <c r="F184" s="9" t="s">
        <v>78</v>
      </c>
      <c r="H184" s="9" t="s">
        <v>65</v>
      </c>
      <c r="I184" s="9" t="s">
        <v>87</v>
      </c>
      <c r="J184" s="9" t="s">
        <v>65</v>
      </c>
      <c r="K184" s="9" t="s">
        <v>323</v>
      </c>
      <c r="N184" s="9" t="s">
        <v>70</v>
      </c>
      <c r="P184" s="10">
        <v>3</v>
      </c>
      <c r="Q184" s="10">
        <v>3</v>
      </c>
      <c r="R184" s="10">
        <v>2</v>
      </c>
      <c r="S184" s="10">
        <v>1</v>
      </c>
      <c r="T184" s="10">
        <v>3</v>
      </c>
      <c r="U184" s="10">
        <v>3</v>
      </c>
      <c r="V184" s="10">
        <v>2.5</v>
      </c>
      <c r="W184" s="11">
        <v>4</v>
      </c>
      <c r="X184" s="11">
        <v>4</v>
      </c>
      <c r="Y184" s="11">
        <v>4</v>
      </c>
      <c r="Z184" s="11">
        <v>1</v>
      </c>
      <c r="AA184" s="11">
        <v>4</v>
      </c>
      <c r="AB184" s="11">
        <v>4</v>
      </c>
      <c r="AC184" s="11">
        <v>3.5</v>
      </c>
      <c r="AD184" s="10"/>
      <c r="AE184" s="10"/>
      <c r="AF184" s="10"/>
      <c r="AG184" s="10"/>
      <c r="AH184" s="10"/>
      <c r="AI184" s="10"/>
      <c r="AJ184" s="10">
        <v>4</v>
      </c>
      <c r="AK184" s="10">
        <v>1</v>
      </c>
      <c r="AL184" s="10">
        <v>1</v>
      </c>
      <c r="AM184" s="10">
        <v>4</v>
      </c>
      <c r="AN184" s="10">
        <v>2</v>
      </c>
      <c r="AO184" s="10">
        <v>4</v>
      </c>
      <c r="AP184" s="10">
        <v>4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X184" s="9">
        <f t="shared" si="32"/>
        <v>1</v>
      </c>
      <c r="BY184" s="9">
        <f t="shared" si="33"/>
        <v>4</v>
      </c>
      <c r="BZ184" s="9">
        <f t="shared" si="34"/>
        <v>1</v>
      </c>
      <c r="CA184" s="9">
        <f t="shared" si="35"/>
        <v>1</v>
      </c>
      <c r="CB184" s="9">
        <f t="shared" si="36"/>
        <v>4</v>
      </c>
      <c r="CC184" s="9">
        <f t="shared" si="37"/>
        <v>4</v>
      </c>
      <c r="CD184" s="9">
        <f t="shared" si="38"/>
        <v>1</v>
      </c>
      <c r="CE184" s="21">
        <f t="shared" si="39"/>
        <v>3.5</v>
      </c>
      <c r="CF184" s="21">
        <f t="shared" si="40"/>
        <v>4</v>
      </c>
      <c r="CG184" s="21">
        <f t="shared" si="41"/>
        <v>2.5</v>
      </c>
      <c r="CH184" s="21">
        <f t="shared" si="42"/>
        <v>2</v>
      </c>
      <c r="CI184" s="21">
        <f t="shared" si="43"/>
        <v>4</v>
      </c>
      <c r="CJ184" s="21">
        <f t="shared" si="44"/>
        <v>3.2</v>
      </c>
    </row>
    <row r="185" spans="1:88">
      <c r="A185" s="9">
        <v>185</v>
      </c>
      <c r="B185" s="9" t="s">
        <v>95</v>
      </c>
      <c r="D185" s="9" t="s">
        <v>188</v>
      </c>
      <c r="E185" s="9" t="s">
        <v>68</v>
      </c>
      <c r="F185" s="9" t="s">
        <v>64</v>
      </c>
      <c r="H185" s="9" t="s">
        <v>65</v>
      </c>
      <c r="I185" s="9" t="s">
        <v>65</v>
      </c>
      <c r="K185" s="9" t="s">
        <v>322</v>
      </c>
      <c r="N185" s="9" t="s">
        <v>70</v>
      </c>
      <c r="P185" s="10">
        <v>3</v>
      </c>
      <c r="Q185" s="10">
        <v>3</v>
      </c>
      <c r="R185" s="10">
        <v>2</v>
      </c>
      <c r="S185" s="10">
        <v>2.5</v>
      </c>
      <c r="T185" s="10">
        <v>3</v>
      </c>
      <c r="U185" s="10">
        <v>2</v>
      </c>
      <c r="V185" s="10">
        <v>2.5833333333333335</v>
      </c>
      <c r="W185" s="11">
        <v>1</v>
      </c>
      <c r="X185" s="11">
        <v>1</v>
      </c>
      <c r="Y185" s="11">
        <v>2</v>
      </c>
      <c r="Z185" s="11">
        <v>2</v>
      </c>
      <c r="AA185" s="11">
        <v>1</v>
      </c>
      <c r="AB185" s="11"/>
      <c r="AC185" s="11">
        <v>1.1666666666666667</v>
      </c>
      <c r="AD185" s="10">
        <v>4</v>
      </c>
      <c r="AE185" s="10">
        <v>4</v>
      </c>
      <c r="AF185" s="10">
        <v>4</v>
      </c>
      <c r="AG185" s="10">
        <v>4</v>
      </c>
      <c r="AH185" s="10">
        <v>4</v>
      </c>
      <c r="AI185" s="10">
        <v>3</v>
      </c>
      <c r="AJ185" s="10">
        <v>3.8333333333333335</v>
      </c>
      <c r="AK185" s="10">
        <v>3</v>
      </c>
      <c r="AL185" s="10">
        <v>2</v>
      </c>
      <c r="AM185" s="10">
        <v>3</v>
      </c>
      <c r="AN185" s="10">
        <v>2.6666666666666665</v>
      </c>
      <c r="AO185" s="10">
        <v>1</v>
      </c>
      <c r="AP185" s="10">
        <v>1.6666666666666667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X185" s="9">
        <f t="shared" si="32"/>
        <v>1</v>
      </c>
      <c r="BY185" s="9">
        <f t="shared" si="33"/>
        <v>3</v>
      </c>
      <c r="BZ185" s="9">
        <f t="shared" si="34"/>
        <v>2</v>
      </c>
      <c r="CA185" s="9">
        <f t="shared" si="35"/>
        <v>2</v>
      </c>
      <c r="CB185" s="9">
        <f t="shared" si="36"/>
        <v>1</v>
      </c>
      <c r="CC185" s="9">
        <f t="shared" si="37"/>
        <v>1.6666666666666667</v>
      </c>
      <c r="CD185" s="9">
        <f t="shared" si="38"/>
        <v>1</v>
      </c>
      <c r="CE185" s="21">
        <f t="shared" si="39"/>
        <v>1.1666666666666667</v>
      </c>
      <c r="CF185" s="21">
        <f t="shared" si="40"/>
        <v>3.8333333333333335</v>
      </c>
      <c r="CG185" s="21">
        <f t="shared" si="41"/>
        <v>2.5833333333333335</v>
      </c>
      <c r="CH185" s="21">
        <f t="shared" si="42"/>
        <v>2.6666666666666665</v>
      </c>
      <c r="CI185" s="21">
        <f t="shared" si="43"/>
        <v>1.6666666666666667</v>
      </c>
      <c r="CJ185" s="21">
        <f t="shared" si="44"/>
        <v>2.3833333333333333</v>
      </c>
    </row>
    <row r="186" spans="1:88">
      <c r="A186" s="9">
        <v>186</v>
      </c>
      <c r="B186" s="9" t="s">
        <v>95</v>
      </c>
      <c r="C186" s="9" t="s">
        <v>189</v>
      </c>
      <c r="D186" s="9" t="s">
        <v>190</v>
      </c>
      <c r="E186" s="9" t="s">
        <v>105</v>
      </c>
      <c r="F186" s="9" t="s">
        <v>78</v>
      </c>
      <c r="H186" s="9" t="s">
        <v>65</v>
      </c>
      <c r="I186" s="9" t="s">
        <v>65</v>
      </c>
      <c r="K186" s="9" t="s">
        <v>322</v>
      </c>
      <c r="N186" s="9" t="s">
        <v>70</v>
      </c>
      <c r="P186" s="10">
        <v>4</v>
      </c>
      <c r="Q186" s="10">
        <v>3</v>
      </c>
      <c r="R186" s="10">
        <v>3</v>
      </c>
      <c r="S186" s="10">
        <v>4</v>
      </c>
      <c r="T186" s="10">
        <v>3</v>
      </c>
      <c r="U186" s="10">
        <v>2</v>
      </c>
      <c r="V186" s="10">
        <v>3.1666666666666665</v>
      </c>
      <c r="W186" s="11">
        <v>4</v>
      </c>
      <c r="X186" s="11">
        <v>4</v>
      </c>
      <c r="Y186" s="11">
        <v>2</v>
      </c>
      <c r="Z186" s="11">
        <v>4</v>
      </c>
      <c r="AA186" s="11">
        <v>4</v>
      </c>
      <c r="AB186" s="11">
        <v>4</v>
      </c>
      <c r="AC186" s="11">
        <v>3.6666666666666665</v>
      </c>
      <c r="AD186" s="10">
        <v>4</v>
      </c>
      <c r="AE186" s="10">
        <v>4</v>
      </c>
      <c r="AF186" s="10">
        <v>4</v>
      </c>
      <c r="AG186" s="10">
        <v>4</v>
      </c>
      <c r="AH186" s="10">
        <v>4</v>
      </c>
      <c r="AI186" s="10">
        <v>4</v>
      </c>
      <c r="AJ186" s="10">
        <v>4</v>
      </c>
      <c r="AK186" s="10">
        <v>4</v>
      </c>
      <c r="AL186" s="10">
        <v>4</v>
      </c>
      <c r="AM186" s="10">
        <v>4</v>
      </c>
      <c r="AN186" s="10">
        <v>4</v>
      </c>
      <c r="AO186" s="10">
        <v>2</v>
      </c>
      <c r="AP186" s="10">
        <v>4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X186" s="9">
        <f t="shared" si="32"/>
        <v>2</v>
      </c>
      <c r="BY186" s="9">
        <f t="shared" si="33"/>
        <v>4</v>
      </c>
      <c r="BZ186" s="9">
        <f t="shared" si="34"/>
        <v>2</v>
      </c>
      <c r="CA186" s="9">
        <f t="shared" si="35"/>
        <v>4</v>
      </c>
      <c r="CB186" s="9">
        <f t="shared" si="36"/>
        <v>2</v>
      </c>
      <c r="CC186" s="9">
        <f t="shared" si="37"/>
        <v>4</v>
      </c>
      <c r="CD186" s="9">
        <f t="shared" si="38"/>
        <v>2</v>
      </c>
      <c r="CE186" s="21">
        <f t="shared" si="39"/>
        <v>3.6666666666666665</v>
      </c>
      <c r="CF186" s="21">
        <f t="shared" si="40"/>
        <v>4</v>
      </c>
      <c r="CG186" s="21">
        <f t="shared" si="41"/>
        <v>3.1666666666666665</v>
      </c>
      <c r="CH186" s="21">
        <f t="shared" si="42"/>
        <v>4</v>
      </c>
      <c r="CI186" s="21">
        <f t="shared" si="43"/>
        <v>4</v>
      </c>
      <c r="CJ186" s="21">
        <f t="shared" si="44"/>
        <v>3.7666666666666666</v>
      </c>
    </row>
    <row r="187" spans="1:88">
      <c r="A187" s="9">
        <v>187</v>
      </c>
      <c r="B187" s="9" t="s">
        <v>95</v>
      </c>
      <c r="C187" s="9" t="s">
        <v>189</v>
      </c>
      <c r="D187" s="9" t="s">
        <v>72</v>
      </c>
      <c r="E187" s="9" t="s">
        <v>63</v>
      </c>
      <c r="F187" s="9" t="s">
        <v>78</v>
      </c>
      <c r="H187" s="9" t="s">
        <v>65</v>
      </c>
      <c r="I187" s="9" t="s">
        <v>65</v>
      </c>
      <c r="K187" s="9" t="s">
        <v>322</v>
      </c>
      <c r="N187" s="9" t="s">
        <v>70</v>
      </c>
      <c r="P187" s="10">
        <v>4</v>
      </c>
      <c r="Q187" s="10">
        <v>4</v>
      </c>
      <c r="R187" s="10">
        <v>2</v>
      </c>
      <c r="S187" s="10">
        <v>4</v>
      </c>
      <c r="T187" s="10">
        <v>3</v>
      </c>
      <c r="U187" s="10">
        <v>2</v>
      </c>
      <c r="V187" s="10">
        <v>3.1666666666666665</v>
      </c>
      <c r="W187" s="11">
        <v>3</v>
      </c>
      <c r="X187" s="11">
        <v>2</v>
      </c>
      <c r="Y187" s="11">
        <v>1</v>
      </c>
      <c r="Z187" s="11">
        <v>4</v>
      </c>
      <c r="AA187" s="11">
        <v>2.5</v>
      </c>
      <c r="AB187" s="11">
        <v>1</v>
      </c>
      <c r="AC187" s="11">
        <v>2.25</v>
      </c>
      <c r="AD187" s="10">
        <v>4</v>
      </c>
      <c r="AE187" s="10">
        <v>4</v>
      </c>
      <c r="AF187" s="10">
        <v>4</v>
      </c>
      <c r="AG187" s="10">
        <v>4</v>
      </c>
      <c r="AH187" s="10">
        <v>4</v>
      </c>
      <c r="AI187" s="10">
        <v>4</v>
      </c>
      <c r="AJ187" s="10">
        <v>4</v>
      </c>
      <c r="AK187" s="10">
        <v>4</v>
      </c>
      <c r="AL187" s="10">
        <v>4</v>
      </c>
      <c r="AM187" s="10">
        <v>4</v>
      </c>
      <c r="AN187" s="10">
        <v>4</v>
      </c>
      <c r="AO187" s="10">
        <v>3</v>
      </c>
      <c r="AP187" s="10">
        <v>3.3333333333333335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X187" s="9">
        <f t="shared" si="32"/>
        <v>1</v>
      </c>
      <c r="BY187" s="9">
        <f t="shared" si="33"/>
        <v>4</v>
      </c>
      <c r="BZ187" s="9">
        <f t="shared" si="34"/>
        <v>2</v>
      </c>
      <c r="CA187" s="9">
        <f t="shared" si="35"/>
        <v>4</v>
      </c>
      <c r="CB187" s="9">
        <f t="shared" si="36"/>
        <v>3</v>
      </c>
      <c r="CC187" s="9">
        <f t="shared" si="37"/>
        <v>3.3333333333333335</v>
      </c>
      <c r="CD187" s="9">
        <f t="shared" si="38"/>
        <v>1</v>
      </c>
      <c r="CE187" s="21">
        <f t="shared" si="39"/>
        <v>2.25</v>
      </c>
      <c r="CF187" s="21">
        <f t="shared" si="40"/>
        <v>4</v>
      </c>
      <c r="CG187" s="21">
        <f t="shared" si="41"/>
        <v>3.1666666666666665</v>
      </c>
      <c r="CH187" s="21">
        <f t="shared" si="42"/>
        <v>4</v>
      </c>
      <c r="CI187" s="21">
        <f t="shared" si="43"/>
        <v>3.3333333333333335</v>
      </c>
      <c r="CJ187" s="21">
        <f t="shared" si="44"/>
        <v>3.35</v>
      </c>
    </row>
    <row r="188" spans="1:88">
      <c r="A188" s="9">
        <v>188</v>
      </c>
      <c r="B188" s="9" t="s">
        <v>95</v>
      </c>
      <c r="C188" s="9" t="s">
        <v>189</v>
      </c>
      <c r="D188" s="9" t="s">
        <v>72</v>
      </c>
      <c r="E188" s="9" t="s">
        <v>78</v>
      </c>
      <c r="F188" s="9" t="s">
        <v>64</v>
      </c>
      <c r="H188" s="9" t="s">
        <v>65</v>
      </c>
      <c r="I188" s="9" t="s">
        <v>65</v>
      </c>
      <c r="K188" s="9" t="s">
        <v>322</v>
      </c>
      <c r="N188" s="9" t="s">
        <v>70</v>
      </c>
      <c r="P188" s="10">
        <v>3.5</v>
      </c>
      <c r="Q188" s="10">
        <v>3</v>
      </c>
      <c r="R188" s="10">
        <v>2</v>
      </c>
      <c r="S188" s="10">
        <v>3.5</v>
      </c>
      <c r="T188" s="10">
        <v>3.5</v>
      </c>
      <c r="U188" s="10">
        <v>3</v>
      </c>
      <c r="V188" s="10">
        <v>3.8333333333333002</v>
      </c>
      <c r="W188" s="11">
        <v>2</v>
      </c>
      <c r="X188" s="11">
        <v>1</v>
      </c>
      <c r="Y188" s="11">
        <v>3</v>
      </c>
      <c r="Z188" s="11">
        <v>2</v>
      </c>
      <c r="AA188" s="11">
        <v>4</v>
      </c>
      <c r="AB188" s="11">
        <v>2</v>
      </c>
      <c r="AC188" s="11">
        <v>2.3333333333333335</v>
      </c>
      <c r="AD188" s="10">
        <v>2.5</v>
      </c>
      <c r="AE188" s="10"/>
      <c r="AF188" s="10">
        <v>4</v>
      </c>
      <c r="AG188" s="10">
        <v>4</v>
      </c>
      <c r="AH188" s="10">
        <v>4</v>
      </c>
      <c r="AI188" s="10">
        <v>4</v>
      </c>
      <c r="AJ188" s="10">
        <v>3.8333333333333002</v>
      </c>
      <c r="AK188" s="10">
        <v>2</v>
      </c>
      <c r="AL188" s="10">
        <v>3</v>
      </c>
      <c r="AM188" s="10">
        <v>3</v>
      </c>
      <c r="AN188" s="10">
        <v>2.6666666666666665</v>
      </c>
      <c r="AO188" s="10">
        <v>3</v>
      </c>
      <c r="AP188" s="10">
        <v>1.6666666666666667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X188" s="9">
        <f t="shared" si="32"/>
        <v>1</v>
      </c>
      <c r="BY188" s="9">
        <f t="shared" si="33"/>
        <v>2.5</v>
      </c>
      <c r="BZ188" s="9">
        <f t="shared" si="34"/>
        <v>2</v>
      </c>
      <c r="CA188" s="9">
        <f t="shared" si="35"/>
        <v>2</v>
      </c>
      <c r="CB188" s="9">
        <f t="shared" si="36"/>
        <v>3</v>
      </c>
      <c r="CC188" s="9">
        <f t="shared" si="37"/>
        <v>1.6666666666666667</v>
      </c>
      <c r="CD188" s="9">
        <f t="shared" si="38"/>
        <v>1</v>
      </c>
      <c r="CE188" s="21">
        <f t="shared" si="39"/>
        <v>2.3333333333333335</v>
      </c>
      <c r="CF188" s="21">
        <f t="shared" si="40"/>
        <v>3.8333333333333002</v>
      </c>
      <c r="CG188" s="21">
        <f t="shared" si="41"/>
        <v>3.8333333333333002</v>
      </c>
      <c r="CH188" s="21">
        <f t="shared" si="42"/>
        <v>2.6666666666666665</v>
      </c>
      <c r="CI188" s="21">
        <f t="shared" si="43"/>
        <v>1.6666666666666667</v>
      </c>
      <c r="CJ188" s="21">
        <f t="shared" si="44"/>
        <v>2.8666666666666534</v>
      </c>
    </row>
    <row r="189" spans="1:88">
      <c r="A189" s="9">
        <v>189</v>
      </c>
      <c r="B189" s="9" t="s">
        <v>95</v>
      </c>
      <c r="C189" s="9" t="s">
        <v>189</v>
      </c>
      <c r="D189" s="9" t="s">
        <v>72</v>
      </c>
      <c r="E189" s="9" t="s">
        <v>78</v>
      </c>
      <c r="F189" s="9" t="s">
        <v>78</v>
      </c>
      <c r="H189" s="9" t="s">
        <v>65</v>
      </c>
      <c r="I189" s="9" t="s">
        <v>65</v>
      </c>
      <c r="K189" s="9" t="s">
        <v>322</v>
      </c>
      <c r="N189" s="9" t="s">
        <v>70</v>
      </c>
      <c r="P189" s="10">
        <v>4</v>
      </c>
      <c r="Q189" s="10">
        <v>4</v>
      </c>
      <c r="R189" s="10">
        <v>1</v>
      </c>
      <c r="S189" s="10">
        <v>5</v>
      </c>
      <c r="T189" s="10">
        <v>4</v>
      </c>
      <c r="U189" s="10">
        <v>1</v>
      </c>
      <c r="V189" s="10">
        <v>3.1666666666666665</v>
      </c>
      <c r="W189" s="11">
        <v>2</v>
      </c>
      <c r="X189" s="11">
        <v>5</v>
      </c>
      <c r="Y189" s="11">
        <v>1</v>
      </c>
      <c r="Z189" s="11">
        <v>3.5</v>
      </c>
      <c r="AA189" s="11">
        <v>5</v>
      </c>
      <c r="AB189" s="11">
        <v>5</v>
      </c>
      <c r="AC189" s="11">
        <v>3.5833333333333335</v>
      </c>
      <c r="AD189" s="10">
        <v>1</v>
      </c>
      <c r="AE189" s="10">
        <v>3</v>
      </c>
      <c r="AF189" s="10">
        <v>1</v>
      </c>
      <c r="AG189" s="10">
        <v>2</v>
      </c>
      <c r="AH189" s="10">
        <v>3</v>
      </c>
      <c r="AI189" s="10">
        <v>1</v>
      </c>
      <c r="AJ189" s="10">
        <v>1.8333333333333333</v>
      </c>
      <c r="AK189" s="10">
        <v>5</v>
      </c>
      <c r="AL189" s="10">
        <v>5</v>
      </c>
      <c r="AM189" s="10">
        <v>5</v>
      </c>
      <c r="AN189" s="10">
        <v>5</v>
      </c>
      <c r="AO189" s="10">
        <v>2</v>
      </c>
      <c r="AP189" s="10">
        <v>5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X189" s="9">
        <f t="shared" si="32"/>
        <v>1</v>
      </c>
      <c r="BY189" s="9">
        <f t="shared" si="33"/>
        <v>1</v>
      </c>
      <c r="BZ189" s="9">
        <f t="shared" si="34"/>
        <v>1</v>
      </c>
      <c r="CA189" s="9">
        <f t="shared" si="35"/>
        <v>5</v>
      </c>
      <c r="CB189" s="9">
        <f t="shared" si="36"/>
        <v>2</v>
      </c>
      <c r="CC189" s="9">
        <f t="shared" si="37"/>
        <v>5</v>
      </c>
      <c r="CD189" s="9">
        <f t="shared" si="38"/>
        <v>1</v>
      </c>
      <c r="CE189" s="21">
        <f t="shared" si="39"/>
        <v>3.5833333333333335</v>
      </c>
      <c r="CF189" s="21">
        <f t="shared" si="40"/>
        <v>1.8333333333333333</v>
      </c>
      <c r="CG189" s="21">
        <f t="shared" si="41"/>
        <v>3.1666666666666665</v>
      </c>
      <c r="CH189" s="21">
        <f t="shared" si="42"/>
        <v>5</v>
      </c>
      <c r="CI189" s="21">
        <f t="shared" si="43"/>
        <v>5</v>
      </c>
      <c r="CJ189" s="21">
        <f t="shared" si="44"/>
        <v>3.7166666666666672</v>
      </c>
    </row>
    <row r="190" spans="1:88">
      <c r="A190" s="9">
        <v>190</v>
      </c>
      <c r="B190" s="9" t="s">
        <v>95</v>
      </c>
      <c r="C190" s="9" t="s">
        <v>189</v>
      </c>
      <c r="D190" s="9" t="s">
        <v>72</v>
      </c>
      <c r="E190" s="9" t="s">
        <v>68</v>
      </c>
      <c r="F190" s="9" t="s">
        <v>78</v>
      </c>
      <c r="H190" s="9" t="s">
        <v>65</v>
      </c>
      <c r="I190" s="9" t="s">
        <v>65</v>
      </c>
      <c r="K190" s="9" t="s">
        <v>322</v>
      </c>
      <c r="N190" s="9" t="s">
        <v>70</v>
      </c>
      <c r="P190" s="10">
        <v>5</v>
      </c>
      <c r="Q190" s="10">
        <v>5</v>
      </c>
      <c r="R190" s="10">
        <v>5</v>
      </c>
      <c r="S190" s="10">
        <v>5</v>
      </c>
      <c r="T190" s="10">
        <v>5</v>
      </c>
      <c r="U190" s="10">
        <v>5</v>
      </c>
      <c r="V190" s="10">
        <v>5</v>
      </c>
      <c r="W190" s="11">
        <v>1</v>
      </c>
      <c r="X190" s="11">
        <v>1</v>
      </c>
      <c r="Y190" s="11">
        <v>1</v>
      </c>
      <c r="Z190" s="11">
        <v>1</v>
      </c>
      <c r="AA190" s="11">
        <v>1</v>
      </c>
      <c r="AB190" s="11">
        <v>1</v>
      </c>
      <c r="AC190" s="11">
        <v>1</v>
      </c>
      <c r="AD190" s="10">
        <v>5</v>
      </c>
      <c r="AE190" s="10">
        <v>5</v>
      </c>
      <c r="AF190" s="10">
        <v>5</v>
      </c>
      <c r="AG190" s="10">
        <v>5</v>
      </c>
      <c r="AH190" s="10">
        <v>5</v>
      </c>
      <c r="AI190" s="10">
        <v>5</v>
      </c>
      <c r="AJ190" s="10">
        <v>5</v>
      </c>
      <c r="AK190" s="10">
        <v>4</v>
      </c>
      <c r="AL190" s="10">
        <v>4</v>
      </c>
      <c r="AM190" s="10">
        <v>4</v>
      </c>
      <c r="AN190" s="10">
        <v>4</v>
      </c>
      <c r="AO190" s="10">
        <v>3</v>
      </c>
      <c r="AP190" s="10">
        <v>5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X190" s="9">
        <f t="shared" si="32"/>
        <v>1</v>
      </c>
      <c r="BY190" s="9">
        <f t="shared" si="33"/>
        <v>5</v>
      </c>
      <c r="BZ190" s="9">
        <f t="shared" si="34"/>
        <v>5</v>
      </c>
      <c r="CA190" s="9">
        <f t="shared" si="35"/>
        <v>4</v>
      </c>
      <c r="CB190" s="9">
        <f t="shared" si="36"/>
        <v>3</v>
      </c>
      <c r="CC190" s="9">
        <f t="shared" si="37"/>
        <v>5</v>
      </c>
      <c r="CD190" s="9">
        <f t="shared" si="38"/>
        <v>1</v>
      </c>
      <c r="CE190" s="21">
        <f t="shared" si="39"/>
        <v>1</v>
      </c>
      <c r="CF190" s="21">
        <f t="shared" si="40"/>
        <v>5</v>
      </c>
      <c r="CG190" s="21">
        <f t="shared" si="41"/>
        <v>5</v>
      </c>
      <c r="CH190" s="21">
        <f t="shared" si="42"/>
        <v>4</v>
      </c>
      <c r="CI190" s="21">
        <f t="shared" si="43"/>
        <v>5</v>
      </c>
      <c r="CJ190" s="21">
        <f t="shared" si="44"/>
        <v>4</v>
      </c>
    </row>
    <row r="191" spans="1:88">
      <c r="A191" s="9">
        <v>191</v>
      </c>
      <c r="B191" s="9" t="s">
        <v>95</v>
      </c>
      <c r="C191" s="9" t="s">
        <v>189</v>
      </c>
      <c r="D191" s="9" t="s">
        <v>191</v>
      </c>
      <c r="E191" s="9" t="s">
        <v>68</v>
      </c>
      <c r="H191" s="9" t="s">
        <v>65</v>
      </c>
      <c r="I191" s="9" t="s">
        <v>65</v>
      </c>
      <c r="K191" s="9" t="s">
        <v>322</v>
      </c>
      <c r="N191" s="9" t="s">
        <v>70</v>
      </c>
      <c r="P191" s="10">
        <v>4.5</v>
      </c>
      <c r="Q191" s="10">
        <v>4</v>
      </c>
      <c r="R191" s="10">
        <v>4</v>
      </c>
      <c r="S191" s="10">
        <v>4</v>
      </c>
      <c r="T191" s="10">
        <v>4</v>
      </c>
      <c r="U191" s="10">
        <v>4</v>
      </c>
      <c r="V191" s="10">
        <v>4.8333333333333002</v>
      </c>
      <c r="W191" s="11">
        <v>1</v>
      </c>
      <c r="X191" s="11">
        <v>1</v>
      </c>
      <c r="Y191" s="11">
        <v>1</v>
      </c>
      <c r="Z191" s="11">
        <v>3.5</v>
      </c>
      <c r="AA191" s="11">
        <v>1</v>
      </c>
      <c r="AB191" s="11">
        <v>1</v>
      </c>
      <c r="AC191" s="11">
        <v>1.4166666666666667</v>
      </c>
      <c r="AD191" s="10">
        <v>5</v>
      </c>
      <c r="AE191" s="10">
        <v>5</v>
      </c>
      <c r="AF191" s="10">
        <v>5</v>
      </c>
      <c r="AG191" s="10">
        <v>5</v>
      </c>
      <c r="AH191" s="10">
        <v>5</v>
      </c>
      <c r="AI191" s="10">
        <v>5</v>
      </c>
      <c r="AJ191" s="10">
        <v>5</v>
      </c>
      <c r="AK191" s="10">
        <v>5</v>
      </c>
      <c r="AL191" s="10">
        <v>5</v>
      </c>
      <c r="AM191" s="10"/>
      <c r="AN191" s="10">
        <v>5</v>
      </c>
      <c r="AO191" s="10">
        <v>3</v>
      </c>
      <c r="AP191" s="10">
        <v>5</v>
      </c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X191" s="9">
        <f t="shared" si="32"/>
        <v>1</v>
      </c>
      <c r="BY191" s="9">
        <f t="shared" si="33"/>
        <v>5</v>
      </c>
      <c r="BZ191" s="9">
        <f t="shared" si="34"/>
        <v>4</v>
      </c>
      <c r="CA191" s="9">
        <f t="shared" si="35"/>
        <v>5</v>
      </c>
      <c r="CB191" s="9">
        <f t="shared" si="36"/>
        <v>3</v>
      </c>
      <c r="CC191" s="9">
        <f t="shared" si="37"/>
        <v>5</v>
      </c>
      <c r="CD191" s="9">
        <f t="shared" si="38"/>
        <v>1</v>
      </c>
      <c r="CE191" s="21">
        <f t="shared" si="39"/>
        <v>1.4166666666666667</v>
      </c>
      <c r="CF191" s="21">
        <f t="shared" si="40"/>
        <v>5</v>
      </c>
      <c r="CG191" s="21">
        <f t="shared" si="41"/>
        <v>4.8333333333333002</v>
      </c>
      <c r="CH191" s="21">
        <f t="shared" si="42"/>
        <v>5</v>
      </c>
      <c r="CI191" s="21">
        <f t="shared" si="43"/>
        <v>5</v>
      </c>
      <c r="CJ191" s="21">
        <f t="shared" si="44"/>
        <v>4.2499999999999938</v>
      </c>
    </row>
    <row r="192" spans="1:88">
      <c r="A192" s="9">
        <v>192</v>
      </c>
      <c r="B192" s="9" t="s">
        <v>95</v>
      </c>
      <c r="C192" s="9" t="s">
        <v>189</v>
      </c>
      <c r="D192" s="9" t="s">
        <v>192</v>
      </c>
      <c r="E192" s="9" t="s">
        <v>105</v>
      </c>
      <c r="F192" s="9" t="s">
        <v>78</v>
      </c>
      <c r="H192" s="9" t="s">
        <v>65</v>
      </c>
      <c r="I192" s="9" t="s">
        <v>65</v>
      </c>
      <c r="K192" s="9" t="s">
        <v>322</v>
      </c>
      <c r="N192" s="9" t="s">
        <v>70</v>
      </c>
      <c r="P192" s="10">
        <v>3</v>
      </c>
      <c r="Q192" s="10">
        <v>5</v>
      </c>
      <c r="R192" s="10">
        <v>3</v>
      </c>
      <c r="S192" s="10">
        <v>4</v>
      </c>
      <c r="T192" s="10">
        <v>4</v>
      </c>
      <c r="U192" s="10">
        <v>1</v>
      </c>
      <c r="V192" s="10">
        <v>3.3333333333333335</v>
      </c>
      <c r="W192" s="11">
        <v>1</v>
      </c>
      <c r="X192" s="11">
        <v>1</v>
      </c>
      <c r="Y192" s="11">
        <v>1</v>
      </c>
      <c r="Z192" s="11">
        <v>1</v>
      </c>
      <c r="AA192" s="11">
        <v>1</v>
      </c>
      <c r="AB192" s="11">
        <v>1</v>
      </c>
      <c r="AC192" s="11">
        <v>1</v>
      </c>
      <c r="AD192" s="10">
        <v>1</v>
      </c>
      <c r="AE192" s="10">
        <v>1</v>
      </c>
      <c r="AF192" s="10">
        <v>1</v>
      </c>
      <c r="AG192" s="10">
        <v>2</v>
      </c>
      <c r="AH192" s="10">
        <v>2</v>
      </c>
      <c r="AI192" s="10">
        <v>1</v>
      </c>
      <c r="AJ192" s="10">
        <v>1.3333333333333333</v>
      </c>
      <c r="AK192" s="10">
        <v>3</v>
      </c>
      <c r="AL192" s="10">
        <v>3</v>
      </c>
      <c r="AM192" s="10">
        <v>3</v>
      </c>
      <c r="AN192" s="10">
        <v>3</v>
      </c>
      <c r="AO192" s="10">
        <v>3</v>
      </c>
      <c r="AP192" s="10">
        <v>2.75</v>
      </c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X192" s="9">
        <f t="shared" si="32"/>
        <v>1</v>
      </c>
      <c r="BY192" s="9">
        <f t="shared" si="33"/>
        <v>1</v>
      </c>
      <c r="BZ192" s="9">
        <f t="shared" si="34"/>
        <v>1</v>
      </c>
      <c r="CA192" s="9">
        <f t="shared" si="35"/>
        <v>3</v>
      </c>
      <c r="CB192" s="9">
        <f t="shared" si="36"/>
        <v>3</v>
      </c>
      <c r="CC192" s="9">
        <f t="shared" si="37"/>
        <v>2.75</v>
      </c>
      <c r="CD192" s="9">
        <f t="shared" si="38"/>
        <v>1</v>
      </c>
      <c r="CE192" s="21">
        <f t="shared" si="39"/>
        <v>1</v>
      </c>
      <c r="CF192" s="21">
        <f t="shared" si="40"/>
        <v>1.3333333333333333</v>
      </c>
      <c r="CG192" s="21">
        <f t="shared" si="41"/>
        <v>3.3333333333333335</v>
      </c>
      <c r="CH192" s="21">
        <f t="shared" si="42"/>
        <v>3</v>
      </c>
      <c r="CI192" s="21">
        <f t="shared" si="43"/>
        <v>2.75</v>
      </c>
      <c r="CJ192" s="21">
        <f t="shared" si="44"/>
        <v>2.2833333333333332</v>
      </c>
    </row>
    <row r="193" spans="1:88">
      <c r="A193" s="9">
        <v>193</v>
      </c>
      <c r="B193" s="9" t="s">
        <v>95</v>
      </c>
      <c r="C193" s="9" t="s">
        <v>189</v>
      </c>
      <c r="D193" s="9" t="s">
        <v>193</v>
      </c>
      <c r="E193" s="9" t="s">
        <v>113</v>
      </c>
      <c r="F193" s="9" t="s">
        <v>78</v>
      </c>
      <c r="H193" s="9" t="s">
        <v>65</v>
      </c>
      <c r="I193" s="9" t="s">
        <v>65</v>
      </c>
      <c r="K193" s="9" t="s">
        <v>322</v>
      </c>
      <c r="N193" s="9" t="s">
        <v>70</v>
      </c>
      <c r="P193" s="10">
        <v>4</v>
      </c>
      <c r="Q193" s="10">
        <v>4</v>
      </c>
      <c r="R193" s="10">
        <v>2</v>
      </c>
      <c r="S193" s="10">
        <v>3</v>
      </c>
      <c r="T193" s="10">
        <v>2</v>
      </c>
      <c r="U193" s="10">
        <v>2</v>
      </c>
      <c r="V193" s="10">
        <v>2.8333333333333335</v>
      </c>
      <c r="W193" s="11">
        <v>1</v>
      </c>
      <c r="X193" s="11">
        <v>1</v>
      </c>
      <c r="Y193" s="11">
        <v>1</v>
      </c>
      <c r="Z193" s="11">
        <v>1</v>
      </c>
      <c r="AA193" s="11">
        <v>2</v>
      </c>
      <c r="AB193" s="11">
        <v>1</v>
      </c>
      <c r="AC193" s="11">
        <v>1.1666666666666667</v>
      </c>
      <c r="AD193" s="10">
        <v>4</v>
      </c>
      <c r="AE193" s="10">
        <v>4</v>
      </c>
      <c r="AF193" s="10">
        <v>1</v>
      </c>
      <c r="AG193" s="10">
        <v>4</v>
      </c>
      <c r="AH193" s="10">
        <v>3.5</v>
      </c>
      <c r="AI193" s="10">
        <v>1</v>
      </c>
      <c r="AJ193" s="10">
        <v>2.9166666666666665</v>
      </c>
      <c r="AK193" s="10">
        <v>3</v>
      </c>
      <c r="AL193" s="10">
        <v>3</v>
      </c>
      <c r="AM193" s="10">
        <v>4</v>
      </c>
      <c r="AN193" s="10">
        <v>3.3333333333333335</v>
      </c>
      <c r="AO193" s="10">
        <v>3</v>
      </c>
      <c r="AP193" s="10">
        <v>3</v>
      </c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X193" s="9">
        <f t="shared" si="32"/>
        <v>1</v>
      </c>
      <c r="BY193" s="9">
        <f t="shared" si="33"/>
        <v>1</v>
      </c>
      <c r="BZ193" s="9">
        <f t="shared" si="34"/>
        <v>2</v>
      </c>
      <c r="CA193" s="9">
        <f t="shared" si="35"/>
        <v>3</v>
      </c>
      <c r="CB193" s="9">
        <f t="shared" si="36"/>
        <v>3</v>
      </c>
      <c r="CC193" s="9">
        <f t="shared" si="37"/>
        <v>3</v>
      </c>
      <c r="CD193" s="9">
        <f t="shared" si="38"/>
        <v>1</v>
      </c>
      <c r="CE193" s="21">
        <f t="shared" si="39"/>
        <v>1.1666666666666667</v>
      </c>
      <c r="CF193" s="21">
        <f t="shared" si="40"/>
        <v>2.9166666666666665</v>
      </c>
      <c r="CG193" s="21">
        <f t="shared" si="41"/>
        <v>2.8333333333333335</v>
      </c>
      <c r="CH193" s="21">
        <f t="shared" si="42"/>
        <v>3.3333333333333335</v>
      </c>
      <c r="CI193" s="21">
        <f t="shared" si="43"/>
        <v>3</v>
      </c>
      <c r="CJ193" s="21">
        <f t="shared" si="44"/>
        <v>2.65</v>
      </c>
    </row>
    <row r="194" spans="1:88">
      <c r="A194" s="9">
        <v>194</v>
      </c>
      <c r="B194" s="9" t="s">
        <v>95</v>
      </c>
      <c r="C194" s="9" t="s">
        <v>189</v>
      </c>
      <c r="D194" s="9" t="s">
        <v>194</v>
      </c>
      <c r="E194" s="9" t="s">
        <v>78</v>
      </c>
      <c r="F194" s="9" t="s">
        <v>78</v>
      </c>
      <c r="H194" s="9" t="s">
        <v>65</v>
      </c>
      <c r="I194" s="9" t="s">
        <v>65</v>
      </c>
      <c r="K194" s="9" t="s">
        <v>322</v>
      </c>
      <c r="N194" s="9" t="s">
        <v>70</v>
      </c>
      <c r="P194" s="10">
        <v>3</v>
      </c>
      <c r="Q194" s="10">
        <v>3</v>
      </c>
      <c r="R194" s="10">
        <v>2</v>
      </c>
      <c r="S194" s="10">
        <v>3</v>
      </c>
      <c r="T194" s="10">
        <v>2</v>
      </c>
      <c r="U194" s="10">
        <v>1</v>
      </c>
      <c r="V194" s="10">
        <v>2.3333333333333335</v>
      </c>
      <c r="W194" s="11">
        <v>5</v>
      </c>
      <c r="X194" s="11">
        <v>5</v>
      </c>
      <c r="Y194" s="11">
        <v>5</v>
      </c>
      <c r="Z194" s="11">
        <v>5</v>
      </c>
      <c r="AA194" s="11">
        <v>5</v>
      </c>
      <c r="AB194" s="11">
        <v>5</v>
      </c>
      <c r="AC194" s="11">
        <v>5</v>
      </c>
      <c r="AD194" s="10">
        <v>4</v>
      </c>
      <c r="AE194" s="10">
        <v>4</v>
      </c>
      <c r="AF194" s="10">
        <v>4</v>
      </c>
      <c r="AG194" s="10">
        <v>4</v>
      </c>
      <c r="AH194" s="10">
        <v>4</v>
      </c>
      <c r="AI194" s="10">
        <v>4</v>
      </c>
      <c r="AJ194" s="10">
        <v>4</v>
      </c>
      <c r="AK194" s="10">
        <v>4</v>
      </c>
      <c r="AL194" s="10">
        <v>4</v>
      </c>
      <c r="AM194" s="10"/>
      <c r="AN194" s="10">
        <v>4</v>
      </c>
      <c r="AO194" s="10">
        <v>4</v>
      </c>
      <c r="AP194" s="10">
        <v>4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X194" s="9">
        <f t="shared" ref="BX194:BX257" si="45">_xlfn.MINIFS(W194:AB194, W194:AB194, "&gt;0")</f>
        <v>5</v>
      </c>
      <c r="BY194" s="9">
        <f t="shared" ref="BY194:BY257" si="46">_xlfn.MINIFS(AD194:AJ194, AD194:AJ194, "&gt;0")</f>
        <v>4</v>
      </c>
      <c r="BZ194" s="9">
        <f t="shared" ref="BZ194:BZ257" si="47">_xlfn.MINIFS(P194:U194, P194:U194, "&gt;0")</f>
        <v>1</v>
      </c>
      <c r="CA194" s="9">
        <f t="shared" ref="CA194:CA257" si="48">_xlfn.MINIFS(AK194:AM194, AK194:AM194, "&gt;0")</f>
        <v>4</v>
      </c>
      <c r="CB194" s="9">
        <f t="shared" ref="CB194:CB257" si="49">_xlfn.MINIFS(AO194, AO194, "&gt;0")</f>
        <v>4</v>
      </c>
      <c r="CC194" s="9">
        <f t="shared" ref="CC194:CC257" si="50">_xlfn.MINIFS(AP194, AP194, "&gt;0")</f>
        <v>4</v>
      </c>
      <c r="CD194" s="9">
        <f t="shared" ref="CD194:CD257" si="51">MIN(BX194:CC194)</f>
        <v>1</v>
      </c>
      <c r="CE194" s="21">
        <f t="shared" ref="CE194:CE257" si="52">AC194</f>
        <v>5</v>
      </c>
      <c r="CF194" s="21">
        <f t="shared" ref="CF194:CF257" si="53">AJ194</f>
        <v>4</v>
      </c>
      <c r="CG194" s="21">
        <f t="shared" ref="CG194:CG257" si="54">V194</f>
        <v>2.3333333333333335</v>
      </c>
      <c r="CH194" s="21">
        <f t="shared" ref="CH194:CH257" si="55">AN194</f>
        <v>4</v>
      </c>
      <c r="CI194" s="21">
        <f t="shared" ref="CI194:CI257" si="56">AP194</f>
        <v>4</v>
      </c>
      <c r="CJ194" s="21">
        <f t="shared" ref="CJ194:CJ257" si="57">AVERAGE(CE194:CI194)</f>
        <v>3.8666666666666671</v>
      </c>
    </row>
    <row r="195" spans="1:88">
      <c r="A195" s="9">
        <v>195</v>
      </c>
      <c r="B195" s="9" t="s">
        <v>95</v>
      </c>
      <c r="C195" s="9" t="s">
        <v>189</v>
      </c>
      <c r="D195" s="9" t="s">
        <v>195</v>
      </c>
      <c r="E195" s="9" t="s">
        <v>63</v>
      </c>
      <c r="F195" s="9" t="s">
        <v>64</v>
      </c>
      <c r="H195" s="9" t="s">
        <v>65</v>
      </c>
      <c r="I195" s="9" t="s">
        <v>65</v>
      </c>
      <c r="K195" s="9" t="s">
        <v>322</v>
      </c>
      <c r="N195" s="9" t="s">
        <v>70</v>
      </c>
      <c r="P195" s="10">
        <v>5</v>
      </c>
      <c r="Q195" s="10">
        <v>5</v>
      </c>
      <c r="R195" s="10">
        <v>5</v>
      </c>
      <c r="S195" s="10">
        <v>5</v>
      </c>
      <c r="T195" s="10">
        <v>5</v>
      </c>
      <c r="U195" s="10">
        <v>5</v>
      </c>
      <c r="V195" s="10">
        <v>5</v>
      </c>
      <c r="W195" s="11">
        <v>5</v>
      </c>
      <c r="X195" s="11">
        <v>1</v>
      </c>
      <c r="Y195" s="11">
        <v>3</v>
      </c>
      <c r="Z195" s="11">
        <v>5</v>
      </c>
      <c r="AA195" s="11">
        <v>3.5</v>
      </c>
      <c r="AB195" s="11">
        <v>1</v>
      </c>
      <c r="AC195" s="11">
        <v>3.8333333333333002</v>
      </c>
      <c r="AD195" s="10">
        <v>5</v>
      </c>
      <c r="AE195" s="10">
        <v>5</v>
      </c>
      <c r="AF195" s="10">
        <v>5</v>
      </c>
      <c r="AG195" s="10">
        <v>5</v>
      </c>
      <c r="AH195" s="10">
        <v>5</v>
      </c>
      <c r="AI195" s="10">
        <v>5</v>
      </c>
      <c r="AJ195" s="10">
        <v>5</v>
      </c>
      <c r="AK195" s="10">
        <v>4</v>
      </c>
      <c r="AL195" s="10">
        <v>4</v>
      </c>
      <c r="AM195" s="10">
        <v>4</v>
      </c>
      <c r="AN195" s="10">
        <v>4</v>
      </c>
      <c r="AO195" s="10">
        <v>3</v>
      </c>
      <c r="AP195" s="10">
        <v>5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X195" s="9">
        <f t="shared" si="45"/>
        <v>1</v>
      </c>
      <c r="BY195" s="9">
        <f t="shared" si="46"/>
        <v>5</v>
      </c>
      <c r="BZ195" s="9">
        <f t="shared" si="47"/>
        <v>5</v>
      </c>
      <c r="CA195" s="9">
        <f t="shared" si="48"/>
        <v>4</v>
      </c>
      <c r="CB195" s="9">
        <f t="shared" si="49"/>
        <v>3</v>
      </c>
      <c r="CC195" s="9">
        <f t="shared" si="50"/>
        <v>5</v>
      </c>
      <c r="CD195" s="9">
        <f t="shared" si="51"/>
        <v>1</v>
      </c>
      <c r="CE195" s="21">
        <f t="shared" si="52"/>
        <v>3.8333333333333002</v>
      </c>
      <c r="CF195" s="21">
        <f t="shared" si="53"/>
        <v>5</v>
      </c>
      <c r="CG195" s="21">
        <f t="shared" si="54"/>
        <v>5</v>
      </c>
      <c r="CH195" s="21">
        <f t="shared" si="55"/>
        <v>4</v>
      </c>
      <c r="CI195" s="21">
        <f t="shared" si="56"/>
        <v>5</v>
      </c>
      <c r="CJ195" s="21">
        <f t="shared" si="57"/>
        <v>4.5666666666666602</v>
      </c>
    </row>
    <row r="196" spans="1:88">
      <c r="A196" s="9">
        <v>196</v>
      </c>
      <c r="B196" s="9" t="s">
        <v>95</v>
      </c>
      <c r="C196" s="9" t="s">
        <v>189</v>
      </c>
      <c r="D196" s="9" t="s">
        <v>196</v>
      </c>
      <c r="E196" s="9" t="s">
        <v>197</v>
      </c>
      <c r="F196" s="9" t="s">
        <v>78</v>
      </c>
      <c r="H196" s="9" t="s">
        <v>65</v>
      </c>
      <c r="I196" s="9" t="s">
        <v>65</v>
      </c>
      <c r="K196" s="9" t="s">
        <v>322</v>
      </c>
      <c r="N196" s="9" t="s">
        <v>70</v>
      </c>
      <c r="P196" s="10">
        <v>5</v>
      </c>
      <c r="Q196" s="10">
        <v>5</v>
      </c>
      <c r="R196" s="10">
        <v>5</v>
      </c>
      <c r="S196" s="10">
        <v>5</v>
      </c>
      <c r="T196" s="10">
        <v>5</v>
      </c>
      <c r="U196" s="10">
        <v>5</v>
      </c>
      <c r="V196" s="10">
        <v>5</v>
      </c>
      <c r="W196" s="11">
        <v>4.5</v>
      </c>
      <c r="X196" s="11">
        <v>3</v>
      </c>
      <c r="Y196" s="11">
        <v>5</v>
      </c>
      <c r="Z196" s="11">
        <v>5</v>
      </c>
      <c r="AA196" s="11">
        <v>4</v>
      </c>
      <c r="AB196" s="11">
        <v>1</v>
      </c>
      <c r="AC196" s="11">
        <v>3.75</v>
      </c>
      <c r="AD196" s="10">
        <v>5</v>
      </c>
      <c r="AE196" s="10">
        <v>5</v>
      </c>
      <c r="AF196" s="10">
        <v>5</v>
      </c>
      <c r="AG196" s="10">
        <v>5</v>
      </c>
      <c r="AH196" s="10">
        <v>5</v>
      </c>
      <c r="AI196" s="10">
        <v>5</v>
      </c>
      <c r="AJ196" s="10">
        <v>5</v>
      </c>
      <c r="AK196" s="10">
        <v>3</v>
      </c>
      <c r="AL196" s="10">
        <v>4</v>
      </c>
      <c r="AM196" s="10">
        <v>4</v>
      </c>
      <c r="AN196" s="10">
        <v>3.6666666666666665</v>
      </c>
      <c r="AO196" s="10">
        <v>3</v>
      </c>
      <c r="AP196" s="10">
        <v>2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X196" s="9">
        <f t="shared" si="45"/>
        <v>1</v>
      </c>
      <c r="BY196" s="9">
        <f t="shared" si="46"/>
        <v>5</v>
      </c>
      <c r="BZ196" s="9">
        <f t="shared" si="47"/>
        <v>5</v>
      </c>
      <c r="CA196" s="9">
        <f t="shared" si="48"/>
        <v>3</v>
      </c>
      <c r="CB196" s="9">
        <f t="shared" si="49"/>
        <v>3</v>
      </c>
      <c r="CC196" s="9">
        <f t="shared" si="50"/>
        <v>2</v>
      </c>
      <c r="CD196" s="9">
        <f t="shared" si="51"/>
        <v>1</v>
      </c>
      <c r="CE196" s="21">
        <f t="shared" si="52"/>
        <v>3.75</v>
      </c>
      <c r="CF196" s="21">
        <f t="shared" si="53"/>
        <v>5</v>
      </c>
      <c r="CG196" s="21">
        <f t="shared" si="54"/>
        <v>5</v>
      </c>
      <c r="CH196" s="21">
        <f t="shared" si="55"/>
        <v>3.6666666666666665</v>
      </c>
      <c r="CI196" s="21">
        <f t="shared" si="56"/>
        <v>2</v>
      </c>
      <c r="CJ196" s="21">
        <f t="shared" si="57"/>
        <v>3.8833333333333337</v>
      </c>
    </row>
    <row r="197" spans="1:88">
      <c r="A197" s="9">
        <v>197</v>
      </c>
      <c r="B197" s="9" t="s">
        <v>95</v>
      </c>
      <c r="D197" s="9" t="s">
        <v>198</v>
      </c>
      <c r="E197" s="9" t="s">
        <v>63</v>
      </c>
      <c r="F197" s="9" t="s">
        <v>78</v>
      </c>
      <c r="H197" s="9" t="s">
        <v>65</v>
      </c>
      <c r="I197" s="9" t="s">
        <v>65</v>
      </c>
      <c r="J197" s="9" t="s">
        <v>65</v>
      </c>
      <c r="K197" s="9" t="s">
        <v>323</v>
      </c>
      <c r="N197" s="9" t="s">
        <v>70</v>
      </c>
      <c r="P197" s="10">
        <v>4.5</v>
      </c>
      <c r="Q197" s="10">
        <v>5</v>
      </c>
      <c r="R197" s="10">
        <v>5</v>
      </c>
      <c r="S197" s="10">
        <v>4.5</v>
      </c>
      <c r="T197" s="10">
        <v>4</v>
      </c>
      <c r="U197" s="10">
        <v>4</v>
      </c>
      <c r="V197" s="10">
        <v>4.5</v>
      </c>
      <c r="W197" s="11">
        <v>5</v>
      </c>
      <c r="X197" s="11">
        <v>5</v>
      </c>
      <c r="Y197" s="11">
        <v>5</v>
      </c>
      <c r="Z197" s="11">
        <v>5</v>
      </c>
      <c r="AA197" s="11">
        <v>5</v>
      </c>
      <c r="AB197" s="11">
        <v>5</v>
      </c>
      <c r="AC197" s="11">
        <v>5</v>
      </c>
      <c r="AD197" s="10">
        <v>4</v>
      </c>
      <c r="AE197" s="10">
        <v>4</v>
      </c>
      <c r="AF197" s="10">
        <v>4</v>
      </c>
      <c r="AG197" s="10">
        <v>4</v>
      </c>
      <c r="AH197" s="10">
        <v>4</v>
      </c>
      <c r="AI197" s="10">
        <v>4</v>
      </c>
      <c r="AJ197" s="10">
        <v>4</v>
      </c>
      <c r="AK197" s="10">
        <v>4</v>
      </c>
      <c r="AL197" s="10">
        <v>4</v>
      </c>
      <c r="AM197" s="10"/>
      <c r="AN197" s="10">
        <v>4</v>
      </c>
      <c r="AO197" s="10"/>
      <c r="AP197" s="10">
        <v>3.75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X197" s="9">
        <f t="shared" si="45"/>
        <v>5</v>
      </c>
      <c r="BY197" s="9">
        <f t="shared" si="46"/>
        <v>4</v>
      </c>
      <c r="BZ197" s="9">
        <f t="shared" si="47"/>
        <v>4</v>
      </c>
      <c r="CA197" s="9">
        <f t="shared" si="48"/>
        <v>4</v>
      </c>
      <c r="CB197" s="9">
        <f t="shared" si="49"/>
        <v>0</v>
      </c>
      <c r="CC197" s="9">
        <f t="shared" si="50"/>
        <v>3.75</v>
      </c>
      <c r="CD197" s="9">
        <f t="shared" si="51"/>
        <v>0</v>
      </c>
      <c r="CE197" s="21">
        <f t="shared" si="52"/>
        <v>5</v>
      </c>
      <c r="CF197" s="21">
        <f t="shared" si="53"/>
        <v>4</v>
      </c>
      <c r="CG197" s="21">
        <f t="shared" si="54"/>
        <v>4.5</v>
      </c>
      <c r="CH197" s="21">
        <f t="shared" si="55"/>
        <v>4</v>
      </c>
      <c r="CI197" s="21">
        <f t="shared" si="56"/>
        <v>3.75</v>
      </c>
      <c r="CJ197" s="21">
        <f t="shared" si="57"/>
        <v>4.25</v>
      </c>
    </row>
    <row r="198" spans="1:88">
      <c r="A198" s="9">
        <v>198</v>
      </c>
      <c r="B198" s="9" t="s">
        <v>95</v>
      </c>
      <c r="D198" s="9" t="s">
        <v>72</v>
      </c>
      <c r="E198" s="9" t="s">
        <v>74</v>
      </c>
      <c r="F198" s="9" t="s">
        <v>64</v>
      </c>
      <c r="H198" s="9" t="s">
        <v>65</v>
      </c>
      <c r="I198" s="9" t="s">
        <v>65</v>
      </c>
      <c r="K198" s="9" t="s">
        <v>322</v>
      </c>
      <c r="N198" s="9" t="s">
        <v>70</v>
      </c>
      <c r="P198" s="10">
        <v>5</v>
      </c>
      <c r="Q198" s="10">
        <v>4</v>
      </c>
      <c r="R198" s="10">
        <v>4</v>
      </c>
      <c r="S198" s="10">
        <v>5</v>
      </c>
      <c r="T198" s="10">
        <v>4.5</v>
      </c>
      <c r="U198" s="10">
        <v>5</v>
      </c>
      <c r="V198" s="10">
        <v>4.583333333333333</v>
      </c>
      <c r="W198" s="11">
        <v>3</v>
      </c>
      <c r="X198" s="11">
        <v>1</v>
      </c>
      <c r="Y198" s="11">
        <v>3</v>
      </c>
      <c r="Z198" s="11">
        <v>5</v>
      </c>
      <c r="AA198" s="11">
        <v>3</v>
      </c>
      <c r="AB198" s="11">
        <v>1</v>
      </c>
      <c r="AC198" s="11">
        <v>2.6666666666666665</v>
      </c>
      <c r="AD198" s="10">
        <v>5</v>
      </c>
      <c r="AE198" s="10">
        <v>5</v>
      </c>
      <c r="AF198" s="10">
        <v>5</v>
      </c>
      <c r="AG198" s="10">
        <v>5</v>
      </c>
      <c r="AH198" s="10">
        <v>5</v>
      </c>
      <c r="AI198" s="10">
        <v>5</v>
      </c>
      <c r="AJ198" s="10">
        <v>5</v>
      </c>
      <c r="AK198" s="10">
        <v>4</v>
      </c>
      <c r="AL198" s="10">
        <v>4</v>
      </c>
      <c r="AM198" s="10">
        <v>4</v>
      </c>
      <c r="AN198" s="10">
        <v>4</v>
      </c>
      <c r="AO198" s="10">
        <v>3</v>
      </c>
      <c r="AP198" s="10">
        <v>4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X198" s="9">
        <f t="shared" si="45"/>
        <v>1</v>
      </c>
      <c r="BY198" s="9">
        <f t="shared" si="46"/>
        <v>5</v>
      </c>
      <c r="BZ198" s="9">
        <f t="shared" si="47"/>
        <v>4</v>
      </c>
      <c r="CA198" s="9">
        <f t="shared" si="48"/>
        <v>4</v>
      </c>
      <c r="CB198" s="9">
        <f t="shared" si="49"/>
        <v>3</v>
      </c>
      <c r="CC198" s="9">
        <f t="shared" si="50"/>
        <v>4</v>
      </c>
      <c r="CD198" s="9">
        <f t="shared" si="51"/>
        <v>1</v>
      </c>
      <c r="CE198" s="21">
        <f t="shared" si="52"/>
        <v>2.6666666666666665</v>
      </c>
      <c r="CF198" s="21">
        <f t="shared" si="53"/>
        <v>5</v>
      </c>
      <c r="CG198" s="21">
        <f t="shared" si="54"/>
        <v>4.583333333333333</v>
      </c>
      <c r="CH198" s="21">
        <f t="shared" si="55"/>
        <v>4</v>
      </c>
      <c r="CI198" s="21">
        <f t="shared" si="56"/>
        <v>4</v>
      </c>
      <c r="CJ198" s="21">
        <f t="shared" si="57"/>
        <v>4.05</v>
      </c>
    </row>
    <row r="199" spans="1:88">
      <c r="A199" s="9">
        <v>199</v>
      </c>
      <c r="B199" s="9" t="s">
        <v>95</v>
      </c>
      <c r="D199" s="9" t="s">
        <v>72</v>
      </c>
      <c r="E199" s="9" t="s">
        <v>78</v>
      </c>
      <c r="F199" s="9" t="s">
        <v>64</v>
      </c>
      <c r="H199" s="9" t="s">
        <v>65</v>
      </c>
      <c r="I199" s="9" t="s">
        <v>65</v>
      </c>
      <c r="K199" s="9" t="s">
        <v>322</v>
      </c>
      <c r="N199" s="9" t="s">
        <v>70</v>
      </c>
      <c r="P199" s="10">
        <v>4</v>
      </c>
      <c r="Q199" s="10">
        <v>5</v>
      </c>
      <c r="R199" s="10">
        <v>4</v>
      </c>
      <c r="S199" s="10">
        <v>5</v>
      </c>
      <c r="T199" s="10">
        <v>3.5</v>
      </c>
      <c r="U199" s="10">
        <v>5</v>
      </c>
      <c r="V199" s="10">
        <v>4.416666666666667</v>
      </c>
      <c r="W199" s="11">
        <v>1.5</v>
      </c>
      <c r="X199" s="11">
        <v>2</v>
      </c>
      <c r="Y199" s="11">
        <v>2</v>
      </c>
      <c r="Z199" s="11">
        <v>2</v>
      </c>
      <c r="AA199" s="11">
        <v>1</v>
      </c>
      <c r="AB199" s="11">
        <v>1</v>
      </c>
      <c r="AC199" s="11">
        <v>1.5833333333333333</v>
      </c>
      <c r="AD199" s="10">
        <v>1.5</v>
      </c>
      <c r="AE199" s="10"/>
      <c r="AF199" s="10">
        <v>3</v>
      </c>
      <c r="AG199" s="10">
        <v>3</v>
      </c>
      <c r="AH199" s="10">
        <v>2</v>
      </c>
      <c r="AI199" s="10">
        <v>3</v>
      </c>
      <c r="AJ199" s="10">
        <v>2.8333333333333002</v>
      </c>
      <c r="AK199" s="10">
        <v>3</v>
      </c>
      <c r="AL199" s="10">
        <v>3</v>
      </c>
      <c r="AM199" s="10">
        <v>4</v>
      </c>
      <c r="AN199" s="10">
        <v>3.3333333333333335</v>
      </c>
      <c r="AO199" s="10">
        <v>3</v>
      </c>
      <c r="AP199" s="10">
        <v>3.6666666666666665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X199" s="9">
        <f t="shared" si="45"/>
        <v>1</v>
      </c>
      <c r="BY199" s="9">
        <f t="shared" si="46"/>
        <v>1.5</v>
      </c>
      <c r="BZ199" s="9">
        <f t="shared" si="47"/>
        <v>3.5</v>
      </c>
      <c r="CA199" s="9">
        <f t="shared" si="48"/>
        <v>3</v>
      </c>
      <c r="CB199" s="9">
        <f t="shared" si="49"/>
        <v>3</v>
      </c>
      <c r="CC199" s="9">
        <f t="shared" si="50"/>
        <v>3.6666666666666665</v>
      </c>
      <c r="CD199" s="9">
        <f t="shared" si="51"/>
        <v>1</v>
      </c>
      <c r="CE199" s="21">
        <f t="shared" si="52"/>
        <v>1.5833333333333333</v>
      </c>
      <c r="CF199" s="21">
        <f t="shared" si="53"/>
        <v>2.8333333333333002</v>
      </c>
      <c r="CG199" s="21">
        <f t="shared" si="54"/>
        <v>4.416666666666667</v>
      </c>
      <c r="CH199" s="21">
        <f t="shared" si="55"/>
        <v>3.3333333333333335</v>
      </c>
      <c r="CI199" s="21">
        <f t="shared" si="56"/>
        <v>3.6666666666666665</v>
      </c>
      <c r="CJ199" s="21">
        <f t="shared" si="57"/>
        <v>3.1666666666666599</v>
      </c>
    </row>
    <row r="200" spans="1:88">
      <c r="A200" s="9">
        <v>200</v>
      </c>
      <c r="B200" s="9" t="s">
        <v>95</v>
      </c>
      <c r="C200" s="9" t="s">
        <v>189</v>
      </c>
      <c r="D200" s="9" t="s">
        <v>72</v>
      </c>
      <c r="H200" s="9" t="s">
        <v>65</v>
      </c>
      <c r="I200" s="9" t="s">
        <v>65</v>
      </c>
      <c r="K200" s="9" t="s">
        <v>322</v>
      </c>
      <c r="N200" s="9" t="s">
        <v>70</v>
      </c>
      <c r="P200" s="10">
        <v>5</v>
      </c>
      <c r="Q200" s="10">
        <v>5</v>
      </c>
      <c r="R200" s="10">
        <v>5</v>
      </c>
      <c r="S200" s="10">
        <v>5</v>
      </c>
      <c r="T200" s="10">
        <v>4.5</v>
      </c>
      <c r="U200" s="10">
        <v>4</v>
      </c>
      <c r="V200" s="10">
        <v>4.75</v>
      </c>
      <c r="W200" s="11">
        <v>1</v>
      </c>
      <c r="X200" s="11">
        <v>3</v>
      </c>
      <c r="Y200" s="11">
        <v>3</v>
      </c>
      <c r="Z200" s="11">
        <v>3</v>
      </c>
      <c r="AA200" s="11">
        <v>2</v>
      </c>
      <c r="AB200" s="11">
        <v>1</v>
      </c>
      <c r="AC200" s="11">
        <v>2.1666666666666665</v>
      </c>
      <c r="AD200" s="10">
        <v>1</v>
      </c>
      <c r="AE200" s="10">
        <v>1</v>
      </c>
      <c r="AF200" s="10">
        <v>1</v>
      </c>
      <c r="AG200" s="10">
        <v>1</v>
      </c>
      <c r="AH200" s="10">
        <v>1</v>
      </c>
      <c r="AI200" s="10">
        <v>1</v>
      </c>
      <c r="AJ200" s="10">
        <v>1</v>
      </c>
      <c r="AK200" s="10">
        <v>4</v>
      </c>
      <c r="AL200" s="10"/>
      <c r="AM200" s="10"/>
      <c r="AN200" s="10">
        <v>4</v>
      </c>
      <c r="AO200" s="10">
        <v>2</v>
      </c>
      <c r="AP200" s="10">
        <v>4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X200" s="9">
        <f t="shared" si="45"/>
        <v>1</v>
      </c>
      <c r="BY200" s="9">
        <f t="shared" si="46"/>
        <v>1</v>
      </c>
      <c r="BZ200" s="9">
        <f t="shared" si="47"/>
        <v>4</v>
      </c>
      <c r="CA200" s="9">
        <f t="shared" si="48"/>
        <v>4</v>
      </c>
      <c r="CB200" s="9">
        <f t="shared" si="49"/>
        <v>2</v>
      </c>
      <c r="CC200" s="9">
        <f t="shared" si="50"/>
        <v>4</v>
      </c>
      <c r="CD200" s="9">
        <f t="shared" si="51"/>
        <v>1</v>
      </c>
      <c r="CE200" s="21">
        <f t="shared" si="52"/>
        <v>2.1666666666666665</v>
      </c>
      <c r="CF200" s="21">
        <f t="shared" si="53"/>
        <v>1</v>
      </c>
      <c r="CG200" s="21">
        <f t="shared" si="54"/>
        <v>4.75</v>
      </c>
      <c r="CH200" s="21">
        <f t="shared" si="55"/>
        <v>4</v>
      </c>
      <c r="CI200" s="21">
        <f t="shared" si="56"/>
        <v>4</v>
      </c>
      <c r="CJ200" s="21">
        <f t="shared" si="57"/>
        <v>3.1833333333333331</v>
      </c>
    </row>
    <row r="201" spans="1:88">
      <c r="A201" s="9">
        <v>201</v>
      </c>
      <c r="B201" s="9" t="s">
        <v>95</v>
      </c>
      <c r="C201" s="9" t="s">
        <v>189</v>
      </c>
      <c r="D201" s="9" t="s">
        <v>72</v>
      </c>
      <c r="E201" s="9" t="s">
        <v>78</v>
      </c>
      <c r="F201" s="9" t="s">
        <v>64</v>
      </c>
      <c r="H201" s="9" t="s">
        <v>65</v>
      </c>
      <c r="I201" s="9" t="s">
        <v>65</v>
      </c>
      <c r="K201" s="9" t="s">
        <v>322</v>
      </c>
      <c r="N201" s="9" t="s">
        <v>70</v>
      </c>
      <c r="P201" s="10">
        <v>4.5</v>
      </c>
      <c r="Q201" s="10">
        <v>5</v>
      </c>
      <c r="R201" s="10">
        <v>4</v>
      </c>
      <c r="S201" s="10">
        <v>4</v>
      </c>
      <c r="T201" s="10">
        <v>4</v>
      </c>
      <c r="U201" s="10">
        <v>4</v>
      </c>
      <c r="V201" s="10">
        <v>4.25</v>
      </c>
      <c r="W201" s="11">
        <v>2</v>
      </c>
      <c r="X201" s="11">
        <v>3</v>
      </c>
      <c r="Y201" s="11">
        <v>3</v>
      </c>
      <c r="Z201" s="11">
        <v>3</v>
      </c>
      <c r="AA201" s="11">
        <v>1</v>
      </c>
      <c r="AB201" s="11">
        <v>1</v>
      </c>
      <c r="AC201" s="11">
        <v>2.1666666666666665</v>
      </c>
      <c r="AD201" s="10">
        <v>5</v>
      </c>
      <c r="AE201" s="10">
        <v>5</v>
      </c>
      <c r="AF201" s="10">
        <v>5</v>
      </c>
      <c r="AG201" s="10">
        <v>5</v>
      </c>
      <c r="AH201" s="10">
        <v>5</v>
      </c>
      <c r="AI201" s="10">
        <v>5</v>
      </c>
      <c r="AJ201" s="10">
        <v>5</v>
      </c>
      <c r="AK201" s="10">
        <v>3</v>
      </c>
      <c r="AL201" s="10">
        <v>3</v>
      </c>
      <c r="AM201" s="10">
        <v>3</v>
      </c>
      <c r="AN201" s="10">
        <v>3</v>
      </c>
      <c r="AO201" s="10">
        <v>3</v>
      </c>
      <c r="AP201" s="10">
        <v>2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X201" s="9">
        <f t="shared" si="45"/>
        <v>1</v>
      </c>
      <c r="BY201" s="9">
        <f t="shared" si="46"/>
        <v>5</v>
      </c>
      <c r="BZ201" s="9">
        <f t="shared" si="47"/>
        <v>4</v>
      </c>
      <c r="CA201" s="9">
        <f t="shared" si="48"/>
        <v>3</v>
      </c>
      <c r="CB201" s="9">
        <f t="shared" si="49"/>
        <v>3</v>
      </c>
      <c r="CC201" s="9">
        <f t="shared" si="50"/>
        <v>2</v>
      </c>
      <c r="CD201" s="9">
        <f t="shared" si="51"/>
        <v>1</v>
      </c>
      <c r="CE201" s="21">
        <f t="shared" si="52"/>
        <v>2.1666666666666665</v>
      </c>
      <c r="CF201" s="21">
        <f t="shared" si="53"/>
        <v>5</v>
      </c>
      <c r="CG201" s="21">
        <f t="shared" si="54"/>
        <v>4.25</v>
      </c>
      <c r="CH201" s="21">
        <f t="shared" si="55"/>
        <v>3</v>
      </c>
      <c r="CI201" s="21">
        <f t="shared" si="56"/>
        <v>2</v>
      </c>
      <c r="CJ201" s="21">
        <f t="shared" si="57"/>
        <v>3.2833333333333328</v>
      </c>
    </row>
    <row r="202" spans="1:88">
      <c r="A202" s="9">
        <v>202</v>
      </c>
      <c r="B202" s="9" t="s">
        <v>95</v>
      </c>
      <c r="D202" s="9" t="s">
        <v>199</v>
      </c>
      <c r="E202" s="9" t="s">
        <v>74</v>
      </c>
      <c r="H202" s="9" t="s">
        <v>65</v>
      </c>
      <c r="I202" s="9" t="s">
        <v>65</v>
      </c>
      <c r="K202" s="9" t="s">
        <v>322</v>
      </c>
      <c r="N202" s="9" t="s">
        <v>70</v>
      </c>
      <c r="P202" s="10">
        <v>2.5</v>
      </c>
      <c r="Q202" s="10">
        <v>2</v>
      </c>
      <c r="R202" s="10">
        <v>1</v>
      </c>
      <c r="S202" s="10">
        <v>4</v>
      </c>
      <c r="T202" s="10">
        <v>2.5</v>
      </c>
      <c r="U202" s="10">
        <v>1</v>
      </c>
      <c r="V202" s="10">
        <v>2.1666666666666665</v>
      </c>
      <c r="W202" s="11">
        <v>1</v>
      </c>
      <c r="X202" s="11">
        <v>1</v>
      </c>
      <c r="Y202" s="11">
        <v>1</v>
      </c>
      <c r="Z202" s="11">
        <v>1</v>
      </c>
      <c r="AA202" s="11">
        <v>1</v>
      </c>
      <c r="AB202" s="11">
        <v>1</v>
      </c>
      <c r="AC202" s="11">
        <v>1</v>
      </c>
      <c r="AD202" s="10">
        <v>1</v>
      </c>
      <c r="AE202" s="10">
        <v>1</v>
      </c>
      <c r="AF202" s="10">
        <v>1</v>
      </c>
      <c r="AG202" s="10">
        <v>1</v>
      </c>
      <c r="AH202" s="10">
        <v>1</v>
      </c>
      <c r="AI202" s="10">
        <v>1</v>
      </c>
      <c r="AJ202" s="10">
        <v>1</v>
      </c>
      <c r="AK202" s="10">
        <v>3</v>
      </c>
      <c r="AL202" s="10"/>
      <c r="AM202" s="10">
        <v>3</v>
      </c>
      <c r="AN202" s="10">
        <v>3</v>
      </c>
      <c r="AO202" s="10">
        <v>2</v>
      </c>
      <c r="AP202" s="10">
        <v>1.75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X202" s="9">
        <f t="shared" si="45"/>
        <v>1</v>
      </c>
      <c r="BY202" s="9">
        <f t="shared" si="46"/>
        <v>1</v>
      </c>
      <c r="BZ202" s="9">
        <f t="shared" si="47"/>
        <v>1</v>
      </c>
      <c r="CA202" s="9">
        <f t="shared" si="48"/>
        <v>3</v>
      </c>
      <c r="CB202" s="9">
        <f t="shared" si="49"/>
        <v>2</v>
      </c>
      <c r="CC202" s="9">
        <f t="shared" si="50"/>
        <v>1.75</v>
      </c>
      <c r="CD202" s="9">
        <f t="shared" si="51"/>
        <v>1</v>
      </c>
      <c r="CE202" s="21">
        <f t="shared" si="52"/>
        <v>1</v>
      </c>
      <c r="CF202" s="21">
        <f t="shared" si="53"/>
        <v>1</v>
      </c>
      <c r="CG202" s="21">
        <f t="shared" si="54"/>
        <v>2.1666666666666665</v>
      </c>
      <c r="CH202" s="21">
        <f t="shared" si="55"/>
        <v>3</v>
      </c>
      <c r="CI202" s="21">
        <f t="shared" si="56"/>
        <v>1.75</v>
      </c>
      <c r="CJ202" s="21">
        <f t="shared" si="57"/>
        <v>1.7833333333333332</v>
      </c>
    </row>
    <row r="203" spans="1:88">
      <c r="A203" s="9">
        <v>203</v>
      </c>
      <c r="B203" s="9" t="s">
        <v>60</v>
      </c>
      <c r="C203" s="9" t="s">
        <v>66</v>
      </c>
      <c r="D203" s="9" t="s">
        <v>200</v>
      </c>
      <c r="E203" s="9" t="s">
        <v>74</v>
      </c>
      <c r="F203" s="9" t="s">
        <v>78</v>
      </c>
      <c r="G203" s="9">
        <v>2018</v>
      </c>
      <c r="H203" s="9" t="s">
        <v>65</v>
      </c>
      <c r="I203" s="9" t="s">
        <v>65</v>
      </c>
      <c r="K203" s="9" t="s">
        <v>322</v>
      </c>
      <c r="L203" s="9" t="s">
        <v>70</v>
      </c>
      <c r="P203" s="10">
        <v>4</v>
      </c>
      <c r="Q203" s="10">
        <v>4</v>
      </c>
      <c r="R203" s="10">
        <v>4</v>
      </c>
      <c r="S203" s="10">
        <v>4</v>
      </c>
      <c r="T203" s="10">
        <v>4</v>
      </c>
      <c r="U203" s="10">
        <v>4</v>
      </c>
      <c r="V203" s="10">
        <v>4</v>
      </c>
      <c r="W203" s="11">
        <v>5</v>
      </c>
      <c r="X203" s="11">
        <v>5</v>
      </c>
      <c r="Y203" s="11">
        <v>5</v>
      </c>
      <c r="Z203" s="11">
        <v>5</v>
      </c>
      <c r="AA203" s="11">
        <v>5</v>
      </c>
      <c r="AB203" s="11">
        <v>5</v>
      </c>
      <c r="AC203" s="11">
        <v>5</v>
      </c>
      <c r="AD203" s="10"/>
      <c r="AE203" s="10"/>
      <c r="AF203" s="10"/>
      <c r="AG203" s="10"/>
      <c r="AH203" s="10"/>
      <c r="AI203" s="10"/>
      <c r="AJ203" s="10"/>
      <c r="AK203" s="10">
        <v>1</v>
      </c>
      <c r="AL203" s="10">
        <v>4</v>
      </c>
      <c r="AM203" s="10">
        <v>4</v>
      </c>
      <c r="AN203" s="10">
        <v>3</v>
      </c>
      <c r="AO203" s="10">
        <v>4</v>
      </c>
      <c r="AP203" s="10">
        <v>5</v>
      </c>
      <c r="AQ203" s="12">
        <v>1</v>
      </c>
      <c r="AR203" s="12">
        <v>3</v>
      </c>
      <c r="AS203" s="12">
        <v>2</v>
      </c>
      <c r="AT203" s="12">
        <v>2</v>
      </c>
      <c r="AU203" s="12">
        <v>2</v>
      </c>
      <c r="AV203" s="12">
        <v>2</v>
      </c>
      <c r="AW203" s="12">
        <v>1</v>
      </c>
      <c r="AX203" s="12">
        <v>1</v>
      </c>
      <c r="AY203" s="12">
        <v>2</v>
      </c>
      <c r="AZ203" s="12">
        <v>1</v>
      </c>
      <c r="BA203" s="12">
        <v>2</v>
      </c>
      <c r="BB203" s="13">
        <v>543</v>
      </c>
      <c r="BC203" s="13">
        <v>743</v>
      </c>
      <c r="BD203" s="13">
        <v>2</v>
      </c>
      <c r="BE203" s="13">
        <v>0.37</v>
      </c>
      <c r="BF203" s="13" t="s">
        <v>217</v>
      </c>
      <c r="BG203" s="13" t="s">
        <v>324</v>
      </c>
      <c r="BH203" s="13" t="s">
        <v>327</v>
      </c>
      <c r="BI203" s="13" t="s">
        <v>334</v>
      </c>
      <c r="BX203" s="9">
        <f t="shared" si="45"/>
        <v>5</v>
      </c>
      <c r="BY203" s="9">
        <f t="shared" si="46"/>
        <v>0</v>
      </c>
      <c r="BZ203" s="9">
        <f t="shared" si="47"/>
        <v>4</v>
      </c>
      <c r="CA203" s="9">
        <f t="shared" si="48"/>
        <v>1</v>
      </c>
      <c r="CB203" s="9">
        <f t="shared" si="49"/>
        <v>4</v>
      </c>
      <c r="CC203" s="9">
        <f t="shared" si="50"/>
        <v>5</v>
      </c>
      <c r="CD203" s="9">
        <f t="shared" si="51"/>
        <v>0</v>
      </c>
      <c r="CE203" s="21">
        <f t="shared" si="52"/>
        <v>5</v>
      </c>
      <c r="CF203" s="21">
        <f t="shared" si="53"/>
        <v>0</v>
      </c>
      <c r="CG203" s="21">
        <f t="shared" si="54"/>
        <v>4</v>
      </c>
      <c r="CH203" s="21">
        <f t="shared" si="55"/>
        <v>3</v>
      </c>
      <c r="CI203" s="21">
        <f t="shared" si="56"/>
        <v>5</v>
      </c>
      <c r="CJ203" s="21">
        <f t="shared" si="57"/>
        <v>3.4</v>
      </c>
    </row>
    <row r="204" spans="1:88">
      <c r="A204" s="9">
        <v>204</v>
      </c>
      <c r="B204" s="9" t="s">
        <v>60</v>
      </c>
      <c r="C204" s="9" t="s">
        <v>103</v>
      </c>
      <c r="D204" s="9" t="s">
        <v>201</v>
      </c>
      <c r="E204" s="9" t="s">
        <v>74</v>
      </c>
      <c r="F204" s="9" t="s">
        <v>64</v>
      </c>
      <c r="H204" s="9" t="s">
        <v>65</v>
      </c>
      <c r="I204" s="9" t="s">
        <v>65</v>
      </c>
      <c r="K204" s="9" t="s">
        <v>322</v>
      </c>
      <c r="L204" s="9" t="s">
        <v>70</v>
      </c>
      <c r="P204" s="10">
        <v>3</v>
      </c>
      <c r="Q204" s="10">
        <v>3</v>
      </c>
      <c r="R204" s="10">
        <v>3</v>
      </c>
      <c r="S204" s="10">
        <v>3</v>
      </c>
      <c r="T204" s="10">
        <v>3</v>
      </c>
      <c r="U204" s="10">
        <v>3</v>
      </c>
      <c r="V204" s="10">
        <v>3</v>
      </c>
      <c r="W204" s="11">
        <v>3.5</v>
      </c>
      <c r="X204" s="11">
        <v>4</v>
      </c>
      <c r="Y204" s="11">
        <v>3</v>
      </c>
      <c r="Z204" s="11">
        <v>4</v>
      </c>
      <c r="AA204" s="11">
        <v>4</v>
      </c>
      <c r="AB204" s="11">
        <v>4</v>
      </c>
      <c r="AC204" s="11">
        <v>3.75</v>
      </c>
      <c r="AD204" s="10"/>
      <c r="AE204" s="10"/>
      <c r="AF204" s="10"/>
      <c r="AG204" s="10"/>
      <c r="AH204" s="10"/>
      <c r="AI204" s="10"/>
      <c r="AJ204" s="10">
        <v>3</v>
      </c>
      <c r="AK204" s="10">
        <v>4</v>
      </c>
      <c r="AL204" s="10">
        <v>4</v>
      </c>
      <c r="AM204" s="10"/>
      <c r="AN204" s="10">
        <v>4</v>
      </c>
      <c r="AO204" s="10">
        <v>3</v>
      </c>
      <c r="AP204" s="10">
        <v>4.333333333333333</v>
      </c>
      <c r="AQ204" s="12">
        <v>1</v>
      </c>
      <c r="AR204" s="12">
        <v>1</v>
      </c>
      <c r="AS204" s="12">
        <v>2</v>
      </c>
      <c r="AT204" s="12">
        <v>1</v>
      </c>
      <c r="AU204" s="12">
        <v>2</v>
      </c>
      <c r="AV204" s="12">
        <v>1.4</v>
      </c>
      <c r="AW204" s="12">
        <v>3</v>
      </c>
      <c r="AX204" s="12">
        <v>1</v>
      </c>
      <c r="AY204" s="12">
        <v>1</v>
      </c>
      <c r="AZ204" s="12">
        <v>3</v>
      </c>
      <c r="BA204" s="12">
        <v>2</v>
      </c>
      <c r="BB204" s="13">
        <v>366</v>
      </c>
      <c r="BC204" s="13">
        <v>561</v>
      </c>
      <c r="BD204" s="13">
        <v>195</v>
      </c>
      <c r="BE204" s="13">
        <v>0.53</v>
      </c>
      <c r="BF204" s="13" t="s">
        <v>337</v>
      </c>
      <c r="BG204" s="13" t="s">
        <v>326</v>
      </c>
      <c r="BH204" s="13" t="s">
        <v>327</v>
      </c>
      <c r="BI204" s="13" t="s">
        <v>334</v>
      </c>
      <c r="BX204" s="9">
        <f t="shared" si="45"/>
        <v>3</v>
      </c>
      <c r="BY204" s="9">
        <f t="shared" si="46"/>
        <v>3</v>
      </c>
      <c r="BZ204" s="9">
        <f t="shared" si="47"/>
        <v>3</v>
      </c>
      <c r="CA204" s="9">
        <f t="shared" si="48"/>
        <v>4</v>
      </c>
      <c r="CB204" s="9">
        <f t="shared" si="49"/>
        <v>3</v>
      </c>
      <c r="CC204" s="9">
        <f t="shared" si="50"/>
        <v>4.333333333333333</v>
      </c>
      <c r="CD204" s="9">
        <f t="shared" si="51"/>
        <v>3</v>
      </c>
      <c r="CE204" s="21">
        <f t="shared" si="52"/>
        <v>3.75</v>
      </c>
      <c r="CF204" s="21">
        <f t="shared" si="53"/>
        <v>3</v>
      </c>
      <c r="CG204" s="21">
        <f t="shared" si="54"/>
        <v>3</v>
      </c>
      <c r="CH204" s="21">
        <f t="shared" si="55"/>
        <v>4</v>
      </c>
      <c r="CI204" s="21">
        <f t="shared" si="56"/>
        <v>4.333333333333333</v>
      </c>
      <c r="CJ204" s="21">
        <f t="shared" si="57"/>
        <v>3.6166666666666663</v>
      </c>
    </row>
    <row r="205" spans="1:88">
      <c r="A205" s="9">
        <v>205</v>
      </c>
      <c r="S205" s="10"/>
      <c r="T205" s="10"/>
      <c r="U205" s="10"/>
      <c r="V205" s="10"/>
      <c r="W205" s="11"/>
      <c r="X205" s="11"/>
      <c r="Y205" s="11"/>
      <c r="Z205" s="11"/>
      <c r="AA205" s="11"/>
      <c r="AB205" s="11"/>
      <c r="AC205" s="11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X205" s="9">
        <f t="shared" si="45"/>
        <v>0</v>
      </c>
      <c r="BY205" s="9">
        <f t="shared" si="46"/>
        <v>0</v>
      </c>
      <c r="BZ205" s="9">
        <f t="shared" si="47"/>
        <v>0</v>
      </c>
      <c r="CA205" s="9">
        <f t="shared" si="48"/>
        <v>0</v>
      </c>
      <c r="CB205" s="9">
        <f t="shared" si="49"/>
        <v>0</v>
      </c>
      <c r="CC205" s="9">
        <f t="shared" si="50"/>
        <v>0</v>
      </c>
      <c r="CD205" s="9">
        <f t="shared" si="51"/>
        <v>0</v>
      </c>
      <c r="CE205" s="21">
        <f t="shared" si="52"/>
        <v>0</v>
      </c>
      <c r="CF205" s="21">
        <f t="shared" si="53"/>
        <v>0</v>
      </c>
      <c r="CG205" s="21">
        <f t="shared" si="54"/>
        <v>0</v>
      </c>
      <c r="CH205" s="21">
        <f t="shared" si="55"/>
        <v>0</v>
      </c>
      <c r="CI205" s="21">
        <f t="shared" si="56"/>
        <v>0</v>
      </c>
      <c r="CJ205" s="21">
        <f t="shared" si="57"/>
        <v>0</v>
      </c>
    </row>
    <row r="206" spans="1:88">
      <c r="A206" s="9">
        <v>206</v>
      </c>
      <c r="S206" s="10"/>
      <c r="T206" s="10"/>
      <c r="U206" s="10"/>
      <c r="V206" s="10"/>
      <c r="W206" s="11"/>
      <c r="X206" s="11"/>
      <c r="Y206" s="11"/>
      <c r="Z206" s="11"/>
      <c r="AA206" s="11"/>
      <c r="AB206" s="11"/>
      <c r="AC206" s="11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X206" s="9">
        <f t="shared" si="45"/>
        <v>0</v>
      </c>
      <c r="BY206" s="9">
        <f t="shared" si="46"/>
        <v>0</v>
      </c>
      <c r="BZ206" s="9">
        <f t="shared" si="47"/>
        <v>0</v>
      </c>
      <c r="CA206" s="9">
        <f t="shared" si="48"/>
        <v>0</v>
      </c>
      <c r="CB206" s="9">
        <f t="shared" si="49"/>
        <v>0</v>
      </c>
      <c r="CC206" s="9">
        <f t="shared" si="50"/>
        <v>0</v>
      </c>
      <c r="CD206" s="9">
        <f t="shared" si="51"/>
        <v>0</v>
      </c>
      <c r="CE206" s="21">
        <f t="shared" si="52"/>
        <v>0</v>
      </c>
      <c r="CF206" s="21">
        <f t="shared" si="53"/>
        <v>0</v>
      </c>
      <c r="CG206" s="21">
        <f t="shared" si="54"/>
        <v>0</v>
      </c>
      <c r="CH206" s="21">
        <f t="shared" si="55"/>
        <v>0</v>
      </c>
      <c r="CI206" s="21">
        <f t="shared" si="56"/>
        <v>0</v>
      </c>
      <c r="CJ206" s="21">
        <f t="shared" si="57"/>
        <v>0</v>
      </c>
    </row>
    <row r="207" spans="1:88">
      <c r="A207" s="9">
        <v>207</v>
      </c>
      <c r="S207" s="10"/>
      <c r="T207" s="10"/>
      <c r="U207" s="10"/>
      <c r="V207" s="10"/>
      <c r="W207" s="11"/>
      <c r="X207" s="11"/>
      <c r="Y207" s="11"/>
      <c r="Z207" s="11"/>
      <c r="AA207" s="11"/>
      <c r="AB207" s="11"/>
      <c r="AC207" s="11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X207" s="9">
        <f t="shared" si="45"/>
        <v>0</v>
      </c>
      <c r="BY207" s="9">
        <f t="shared" si="46"/>
        <v>0</v>
      </c>
      <c r="BZ207" s="9">
        <f t="shared" si="47"/>
        <v>0</v>
      </c>
      <c r="CA207" s="9">
        <f t="shared" si="48"/>
        <v>0</v>
      </c>
      <c r="CB207" s="9">
        <f t="shared" si="49"/>
        <v>0</v>
      </c>
      <c r="CC207" s="9">
        <f t="shared" si="50"/>
        <v>0</v>
      </c>
      <c r="CD207" s="9">
        <f t="shared" si="51"/>
        <v>0</v>
      </c>
      <c r="CE207" s="21">
        <f t="shared" si="52"/>
        <v>0</v>
      </c>
      <c r="CF207" s="21">
        <f t="shared" si="53"/>
        <v>0</v>
      </c>
      <c r="CG207" s="21">
        <f t="shared" si="54"/>
        <v>0</v>
      </c>
      <c r="CH207" s="21">
        <f t="shared" si="55"/>
        <v>0</v>
      </c>
      <c r="CI207" s="21">
        <f t="shared" si="56"/>
        <v>0</v>
      </c>
      <c r="CJ207" s="21">
        <f t="shared" si="57"/>
        <v>0</v>
      </c>
    </row>
    <row r="208" spans="1:88">
      <c r="A208" s="9">
        <v>208</v>
      </c>
      <c r="S208" s="10"/>
      <c r="T208" s="10"/>
      <c r="U208" s="10"/>
      <c r="V208" s="10"/>
      <c r="W208" s="11"/>
      <c r="X208" s="11"/>
      <c r="Y208" s="11"/>
      <c r="Z208" s="11"/>
      <c r="AA208" s="11"/>
      <c r="AB208" s="11"/>
      <c r="AC208" s="11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X208" s="9">
        <f t="shared" si="45"/>
        <v>0</v>
      </c>
      <c r="BY208" s="9">
        <f t="shared" si="46"/>
        <v>0</v>
      </c>
      <c r="BZ208" s="9">
        <f t="shared" si="47"/>
        <v>0</v>
      </c>
      <c r="CA208" s="9">
        <f t="shared" si="48"/>
        <v>0</v>
      </c>
      <c r="CB208" s="9">
        <f t="shared" si="49"/>
        <v>0</v>
      </c>
      <c r="CC208" s="9">
        <f t="shared" si="50"/>
        <v>0</v>
      </c>
      <c r="CD208" s="9">
        <f t="shared" si="51"/>
        <v>0</v>
      </c>
      <c r="CE208" s="21">
        <f t="shared" si="52"/>
        <v>0</v>
      </c>
      <c r="CF208" s="21">
        <f t="shared" si="53"/>
        <v>0</v>
      </c>
      <c r="CG208" s="21">
        <f t="shared" si="54"/>
        <v>0</v>
      </c>
      <c r="CH208" s="21">
        <f t="shared" si="55"/>
        <v>0</v>
      </c>
      <c r="CI208" s="21">
        <f t="shared" si="56"/>
        <v>0</v>
      </c>
      <c r="CJ208" s="21">
        <f t="shared" si="57"/>
        <v>0</v>
      </c>
    </row>
    <row r="209" spans="1:88">
      <c r="A209" s="9">
        <v>209</v>
      </c>
      <c r="S209" s="10"/>
      <c r="T209" s="10"/>
      <c r="U209" s="10"/>
      <c r="V209" s="10"/>
      <c r="W209" s="11"/>
      <c r="X209" s="11"/>
      <c r="Y209" s="11"/>
      <c r="Z209" s="11"/>
      <c r="AA209" s="11"/>
      <c r="AB209" s="11"/>
      <c r="AC209" s="11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X209" s="9">
        <f t="shared" si="45"/>
        <v>0</v>
      </c>
      <c r="BY209" s="9">
        <f t="shared" si="46"/>
        <v>0</v>
      </c>
      <c r="BZ209" s="9">
        <f t="shared" si="47"/>
        <v>0</v>
      </c>
      <c r="CA209" s="9">
        <f t="shared" si="48"/>
        <v>0</v>
      </c>
      <c r="CB209" s="9">
        <f t="shared" si="49"/>
        <v>0</v>
      </c>
      <c r="CC209" s="9">
        <f t="shared" si="50"/>
        <v>0</v>
      </c>
      <c r="CD209" s="9">
        <f t="shared" si="51"/>
        <v>0</v>
      </c>
      <c r="CE209" s="21">
        <f t="shared" si="52"/>
        <v>0</v>
      </c>
      <c r="CF209" s="21">
        <f t="shared" si="53"/>
        <v>0</v>
      </c>
      <c r="CG209" s="21">
        <f t="shared" si="54"/>
        <v>0</v>
      </c>
      <c r="CH209" s="21">
        <f t="shared" si="55"/>
        <v>0</v>
      </c>
      <c r="CI209" s="21">
        <f t="shared" si="56"/>
        <v>0</v>
      </c>
      <c r="CJ209" s="21">
        <f t="shared" si="57"/>
        <v>0</v>
      </c>
    </row>
    <row r="210" spans="1:88">
      <c r="A210" s="9">
        <v>210</v>
      </c>
      <c r="S210" s="10"/>
      <c r="T210" s="10"/>
      <c r="U210" s="10"/>
      <c r="V210" s="10"/>
      <c r="W210" s="11"/>
      <c r="X210" s="11"/>
      <c r="Y210" s="11"/>
      <c r="Z210" s="11"/>
      <c r="AA210" s="11"/>
      <c r="AB210" s="11"/>
      <c r="AC210" s="11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X210" s="9">
        <f t="shared" si="45"/>
        <v>0</v>
      </c>
      <c r="BY210" s="9">
        <f t="shared" si="46"/>
        <v>0</v>
      </c>
      <c r="BZ210" s="9">
        <f t="shared" si="47"/>
        <v>0</v>
      </c>
      <c r="CA210" s="9">
        <f t="shared" si="48"/>
        <v>0</v>
      </c>
      <c r="CB210" s="9">
        <f t="shared" si="49"/>
        <v>0</v>
      </c>
      <c r="CC210" s="9">
        <f t="shared" si="50"/>
        <v>0</v>
      </c>
      <c r="CD210" s="9">
        <f t="shared" si="51"/>
        <v>0</v>
      </c>
      <c r="CE210" s="21">
        <f t="shared" si="52"/>
        <v>0</v>
      </c>
      <c r="CF210" s="21">
        <f t="shared" si="53"/>
        <v>0</v>
      </c>
      <c r="CG210" s="21">
        <f t="shared" si="54"/>
        <v>0</v>
      </c>
      <c r="CH210" s="21">
        <f t="shared" si="55"/>
        <v>0</v>
      </c>
      <c r="CI210" s="21">
        <f t="shared" si="56"/>
        <v>0</v>
      </c>
      <c r="CJ210" s="21">
        <f t="shared" si="57"/>
        <v>0</v>
      </c>
    </row>
    <row r="211" spans="1:88">
      <c r="A211" s="9">
        <v>211</v>
      </c>
      <c r="S211" s="10"/>
      <c r="T211" s="10"/>
      <c r="U211" s="10"/>
      <c r="V211" s="10"/>
      <c r="W211" s="11"/>
      <c r="X211" s="11"/>
      <c r="Y211" s="11"/>
      <c r="Z211" s="11"/>
      <c r="AA211" s="11"/>
      <c r="AB211" s="11"/>
      <c r="AC211" s="11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X211" s="9">
        <f t="shared" si="45"/>
        <v>0</v>
      </c>
      <c r="BY211" s="9">
        <f t="shared" si="46"/>
        <v>0</v>
      </c>
      <c r="BZ211" s="9">
        <f t="shared" si="47"/>
        <v>0</v>
      </c>
      <c r="CA211" s="9">
        <f t="shared" si="48"/>
        <v>0</v>
      </c>
      <c r="CB211" s="9">
        <f t="shared" si="49"/>
        <v>0</v>
      </c>
      <c r="CC211" s="9">
        <f t="shared" si="50"/>
        <v>0</v>
      </c>
      <c r="CD211" s="9">
        <f t="shared" si="51"/>
        <v>0</v>
      </c>
      <c r="CE211" s="21">
        <f t="shared" si="52"/>
        <v>0</v>
      </c>
      <c r="CF211" s="21">
        <f t="shared" si="53"/>
        <v>0</v>
      </c>
      <c r="CG211" s="21">
        <f t="shared" si="54"/>
        <v>0</v>
      </c>
      <c r="CH211" s="21">
        <f t="shared" si="55"/>
        <v>0</v>
      </c>
      <c r="CI211" s="21">
        <f t="shared" si="56"/>
        <v>0</v>
      </c>
      <c r="CJ211" s="21">
        <f t="shared" si="57"/>
        <v>0</v>
      </c>
    </row>
    <row r="212" spans="1:88">
      <c r="A212" s="9">
        <v>212</v>
      </c>
      <c r="B212" s="9" t="s">
        <v>95</v>
      </c>
      <c r="D212" s="9" t="s">
        <v>75</v>
      </c>
      <c r="E212" s="9" t="s">
        <v>78</v>
      </c>
      <c r="F212" s="9" t="s">
        <v>64</v>
      </c>
      <c r="G212" s="9">
        <v>2022</v>
      </c>
      <c r="H212" s="9" t="s">
        <v>65</v>
      </c>
      <c r="I212" s="9" t="s">
        <v>65</v>
      </c>
      <c r="J212" s="9" t="s">
        <v>65</v>
      </c>
      <c r="K212" s="9" t="s">
        <v>323</v>
      </c>
      <c r="N212" s="9" t="s">
        <v>70</v>
      </c>
      <c r="P212" s="10">
        <v>4</v>
      </c>
      <c r="Q212" s="10">
        <v>4</v>
      </c>
      <c r="R212" s="10">
        <v>4</v>
      </c>
      <c r="S212" s="10">
        <v>4</v>
      </c>
      <c r="T212" s="10">
        <v>4</v>
      </c>
      <c r="U212" s="10">
        <v>4</v>
      </c>
      <c r="V212" s="10">
        <v>4</v>
      </c>
      <c r="W212" s="11">
        <v>5</v>
      </c>
      <c r="X212" s="11">
        <v>5</v>
      </c>
      <c r="Y212" s="11">
        <v>5</v>
      </c>
      <c r="Z212" s="11">
        <v>5</v>
      </c>
      <c r="AA212" s="11">
        <v>5</v>
      </c>
      <c r="AB212" s="11">
        <v>5</v>
      </c>
      <c r="AC212" s="11">
        <v>5</v>
      </c>
      <c r="AD212" s="10"/>
      <c r="AE212" s="10"/>
      <c r="AF212" s="10"/>
      <c r="AG212" s="10"/>
      <c r="AH212" s="10"/>
      <c r="AI212" s="10"/>
      <c r="AJ212" s="10">
        <v>5</v>
      </c>
      <c r="AK212" s="10">
        <v>5</v>
      </c>
      <c r="AL212" s="10">
        <v>5</v>
      </c>
      <c r="AM212" s="10">
        <v>5</v>
      </c>
      <c r="AN212" s="10">
        <v>5</v>
      </c>
      <c r="AO212" s="10">
        <v>5</v>
      </c>
      <c r="AP212" s="10"/>
      <c r="AQ212" s="12">
        <v>1</v>
      </c>
      <c r="AR212" s="12">
        <v>1</v>
      </c>
      <c r="AS212" s="12">
        <v>2</v>
      </c>
      <c r="AT212" s="12">
        <v>2</v>
      </c>
      <c r="AU212" s="12">
        <v>2</v>
      </c>
      <c r="AV212" s="12">
        <v>1.6</v>
      </c>
      <c r="AW212" s="12">
        <v>2</v>
      </c>
      <c r="AX212" s="12">
        <v>1</v>
      </c>
      <c r="AY212" s="12">
        <v>1</v>
      </c>
      <c r="AZ212" s="12">
        <v>3</v>
      </c>
      <c r="BA212" s="12">
        <v>2</v>
      </c>
      <c r="BB212" s="13">
        <v>383</v>
      </c>
      <c r="BC212" s="13">
        <v>553</v>
      </c>
      <c r="BD212" s="13">
        <v>17</v>
      </c>
      <c r="BE212" s="13">
        <v>0.44</v>
      </c>
      <c r="BF212" s="13" t="s">
        <v>209</v>
      </c>
      <c r="BG212" s="13" t="s">
        <v>326</v>
      </c>
      <c r="BH212" s="13" t="s">
        <v>330</v>
      </c>
      <c r="BI212" s="13" t="s">
        <v>325</v>
      </c>
      <c r="BX212" s="9">
        <f t="shared" si="45"/>
        <v>5</v>
      </c>
      <c r="BY212" s="9">
        <f t="shared" si="46"/>
        <v>5</v>
      </c>
      <c r="BZ212" s="9">
        <f t="shared" si="47"/>
        <v>4</v>
      </c>
      <c r="CA212" s="9">
        <f t="shared" si="48"/>
        <v>5</v>
      </c>
      <c r="CB212" s="9">
        <f t="shared" si="49"/>
        <v>5</v>
      </c>
      <c r="CC212" s="9">
        <f t="shared" si="50"/>
        <v>0</v>
      </c>
      <c r="CD212" s="9">
        <f t="shared" si="51"/>
        <v>0</v>
      </c>
      <c r="CE212" s="21">
        <f t="shared" si="52"/>
        <v>5</v>
      </c>
      <c r="CF212" s="21">
        <f t="shared" si="53"/>
        <v>5</v>
      </c>
      <c r="CG212" s="21">
        <f t="shared" si="54"/>
        <v>4</v>
      </c>
      <c r="CH212" s="21">
        <f t="shared" si="55"/>
        <v>5</v>
      </c>
      <c r="CI212" s="21">
        <f t="shared" si="56"/>
        <v>0</v>
      </c>
      <c r="CJ212" s="21">
        <f t="shared" si="57"/>
        <v>3.8</v>
      </c>
    </row>
    <row r="213" spans="1:88">
      <c r="A213" s="9">
        <v>213</v>
      </c>
      <c r="B213" s="9" t="s">
        <v>88</v>
      </c>
      <c r="C213" s="9" t="s">
        <v>89</v>
      </c>
      <c r="D213" s="9" t="s">
        <v>96</v>
      </c>
      <c r="E213" s="9" t="s">
        <v>63</v>
      </c>
      <c r="F213" s="9" t="s">
        <v>78</v>
      </c>
      <c r="H213" s="9" t="s">
        <v>65</v>
      </c>
      <c r="I213" s="9" t="s">
        <v>83</v>
      </c>
      <c r="K213" s="9" t="s">
        <v>323</v>
      </c>
      <c r="N213" s="9" t="s">
        <v>70</v>
      </c>
      <c r="O213" s="9" t="s">
        <v>70</v>
      </c>
      <c r="P213" s="10">
        <v>5</v>
      </c>
      <c r="Q213" s="10">
        <v>5</v>
      </c>
      <c r="R213" s="10">
        <v>4</v>
      </c>
      <c r="S213" s="10">
        <v>5</v>
      </c>
      <c r="T213" s="10">
        <v>5</v>
      </c>
      <c r="U213" s="10">
        <v>5</v>
      </c>
      <c r="V213" s="10">
        <v>4.833333333333333</v>
      </c>
      <c r="W213" s="11">
        <v>5</v>
      </c>
      <c r="X213" s="11">
        <v>5</v>
      </c>
      <c r="Y213" s="11">
        <v>5</v>
      </c>
      <c r="Z213" s="11">
        <v>5</v>
      </c>
      <c r="AA213" s="11">
        <v>5</v>
      </c>
      <c r="AB213" s="11">
        <v>5</v>
      </c>
      <c r="AC213" s="11">
        <v>5</v>
      </c>
      <c r="AD213" s="10"/>
      <c r="AE213" s="10"/>
      <c r="AF213" s="10"/>
      <c r="AG213" s="10"/>
      <c r="AH213" s="10"/>
      <c r="AI213" s="10"/>
      <c r="AJ213" s="10">
        <v>5</v>
      </c>
      <c r="AK213" s="10">
        <v>5</v>
      </c>
      <c r="AL213" s="10">
        <v>5</v>
      </c>
      <c r="AM213" s="10">
        <v>5</v>
      </c>
      <c r="AN213" s="10">
        <v>5</v>
      </c>
      <c r="AO213" s="10">
        <v>5</v>
      </c>
      <c r="AP213" s="10">
        <v>5</v>
      </c>
      <c r="AQ213" s="12">
        <v>2</v>
      </c>
      <c r="AR213" s="12">
        <v>3</v>
      </c>
      <c r="AS213" s="12">
        <v>2</v>
      </c>
      <c r="AT213" s="12">
        <v>3</v>
      </c>
      <c r="AU213" s="12">
        <v>3</v>
      </c>
      <c r="AV213" s="12">
        <v>2.6</v>
      </c>
      <c r="AW213" s="12">
        <v>2</v>
      </c>
      <c r="AX213" s="12">
        <v>3</v>
      </c>
      <c r="AY213" s="12">
        <v>2</v>
      </c>
      <c r="AZ213" s="12">
        <v>3</v>
      </c>
      <c r="BA213" s="12">
        <v>3</v>
      </c>
      <c r="BB213" s="13">
        <v>391</v>
      </c>
      <c r="BC213" s="13">
        <v>657</v>
      </c>
      <c r="BD213" s="13">
        <v>266</v>
      </c>
      <c r="BE213" s="13">
        <v>0.68</v>
      </c>
      <c r="BF213" s="13" t="s">
        <v>217</v>
      </c>
      <c r="BG213" s="13" t="s">
        <v>324</v>
      </c>
      <c r="BH213" s="13" t="s">
        <v>327</v>
      </c>
      <c r="BI213" s="13" t="s">
        <v>325</v>
      </c>
      <c r="BX213" s="9">
        <f t="shared" si="45"/>
        <v>5</v>
      </c>
      <c r="BY213" s="9">
        <f t="shared" si="46"/>
        <v>5</v>
      </c>
      <c r="BZ213" s="9">
        <f t="shared" si="47"/>
        <v>4</v>
      </c>
      <c r="CA213" s="9">
        <f t="shared" si="48"/>
        <v>5</v>
      </c>
      <c r="CB213" s="9">
        <f t="shared" si="49"/>
        <v>5</v>
      </c>
      <c r="CC213" s="9">
        <f t="shared" si="50"/>
        <v>5</v>
      </c>
      <c r="CD213" s="9">
        <f t="shared" si="51"/>
        <v>4</v>
      </c>
      <c r="CE213" s="21">
        <f t="shared" si="52"/>
        <v>5</v>
      </c>
      <c r="CF213" s="21">
        <f t="shared" si="53"/>
        <v>5</v>
      </c>
      <c r="CG213" s="21">
        <f t="shared" si="54"/>
        <v>4.833333333333333</v>
      </c>
      <c r="CH213" s="21">
        <f t="shared" si="55"/>
        <v>5</v>
      </c>
      <c r="CI213" s="21">
        <f t="shared" si="56"/>
        <v>5</v>
      </c>
      <c r="CJ213" s="21">
        <f t="shared" si="57"/>
        <v>4.9666666666666668</v>
      </c>
    </row>
    <row r="214" spans="1:88">
      <c r="A214" s="9">
        <v>214</v>
      </c>
      <c r="B214" s="9" t="s">
        <v>202</v>
      </c>
      <c r="C214" s="9" t="s">
        <v>102</v>
      </c>
      <c r="D214" s="9" t="s">
        <v>72</v>
      </c>
      <c r="E214" s="9" t="s">
        <v>63</v>
      </c>
      <c r="F214" s="9" t="s">
        <v>78</v>
      </c>
      <c r="H214" s="9" t="s">
        <v>69</v>
      </c>
      <c r="I214" s="9" t="s">
        <v>83</v>
      </c>
      <c r="K214" s="9" t="s">
        <v>322</v>
      </c>
      <c r="P214" s="10">
        <v>4</v>
      </c>
      <c r="Q214" s="10">
        <v>4</v>
      </c>
      <c r="R214" s="10">
        <v>4</v>
      </c>
      <c r="S214" s="10">
        <v>4</v>
      </c>
      <c r="T214" s="10">
        <v>4</v>
      </c>
      <c r="U214" s="10">
        <v>4</v>
      </c>
      <c r="V214" s="10">
        <v>4</v>
      </c>
      <c r="W214" s="11">
        <v>3</v>
      </c>
      <c r="X214" s="11">
        <v>3</v>
      </c>
      <c r="Y214" s="11">
        <v>3</v>
      </c>
      <c r="Z214" s="11">
        <v>3.5</v>
      </c>
      <c r="AA214" s="11">
        <v>2</v>
      </c>
      <c r="AB214" s="11">
        <v>2</v>
      </c>
      <c r="AC214" s="11">
        <v>2.75</v>
      </c>
      <c r="AD214" s="10"/>
      <c r="AE214" s="10"/>
      <c r="AF214" s="10"/>
      <c r="AG214" s="10"/>
      <c r="AH214" s="10"/>
      <c r="AI214" s="10"/>
      <c r="AJ214" s="10">
        <v>4</v>
      </c>
      <c r="AK214" s="10">
        <v>5</v>
      </c>
      <c r="AL214" s="10">
        <v>4</v>
      </c>
      <c r="AM214" s="10"/>
      <c r="AN214" s="10">
        <v>4.5</v>
      </c>
      <c r="AO214" s="10"/>
      <c r="AP214" s="10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X214" s="9">
        <f t="shared" si="45"/>
        <v>2</v>
      </c>
      <c r="BY214" s="9">
        <f t="shared" si="46"/>
        <v>4</v>
      </c>
      <c r="BZ214" s="9">
        <f t="shared" si="47"/>
        <v>4</v>
      </c>
      <c r="CA214" s="9">
        <f t="shared" si="48"/>
        <v>4</v>
      </c>
      <c r="CB214" s="9">
        <f t="shared" si="49"/>
        <v>0</v>
      </c>
      <c r="CC214" s="9">
        <f t="shared" si="50"/>
        <v>0</v>
      </c>
      <c r="CD214" s="9">
        <f t="shared" si="51"/>
        <v>0</v>
      </c>
      <c r="CE214" s="21">
        <f t="shared" si="52"/>
        <v>2.75</v>
      </c>
      <c r="CF214" s="21">
        <f t="shared" si="53"/>
        <v>4</v>
      </c>
      <c r="CG214" s="21">
        <f t="shared" si="54"/>
        <v>4</v>
      </c>
      <c r="CH214" s="21">
        <f t="shared" si="55"/>
        <v>4.5</v>
      </c>
      <c r="CI214" s="21">
        <f t="shared" si="56"/>
        <v>0</v>
      </c>
      <c r="CJ214" s="21">
        <f t="shared" si="57"/>
        <v>3.05</v>
      </c>
    </row>
    <row r="215" spans="1:88">
      <c r="A215" s="9">
        <v>215</v>
      </c>
      <c r="B215" s="9" t="s">
        <v>119</v>
      </c>
      <c r="D215" s="9" t="s">
        <v>75</v>
      </c>
      <c r="E215" s="9" t="s">
        <v>105</v>
      </c>
      <c r="F215" s="9" t="s">
        <v>78</v>
      </c>
      <c r="G215" s="9">
        <v>2020</v>
      </c>
      <c r="H215" s="9" t="s">
        <v>65</v>
      </c>
      <c r="I215" s="9" t="s">
        <v>83</v>
      </c>
      <c r="K215" s="9" t="s">
        <v>322</v>
      </c>
      <c r="M215" s="9" t="s">
        <v>70</v>
      </c>
      <c r="P215" s="10">
        <v>3</v>
      </c>
      <c r="Q215" s="10">
        <v>3</v>
      </c>
      <c r="R215" s="10">
        <v>2</v>
      </c>
      <c r="S215" s="10">
        <v>3</v>
      </c>
      <c r="T215" s="10">
        <v>3</v>
      </c>
      <c r="U215" s="10">
        <v>3</v>
      </c>
      <c r="V215" s="10">
        <v>2.8333333333333335</v>
      </c>
      <c r="W215" s="11">
        <v>4</v>
      </c>
      <c r="X215" s="11">
        <v>4</v>
      </c>
      <c r="Y215" s="11">
        <v>2</v>
      </c>
      <c r="Z215" s="11">
        <v>4</v>
      </c>
      <c r="AA215" s="11">
        <v>4</v>
      </c>
      <c r="AB215" s="11">
        <v>4</v>
      </c>
      <c r="AC215" s="11">
        <v>3.6666666666666665</v>
      </c>
      <c r="AD215" s="10"/>
      <c r="AE215" s="10"/>
      <c r="AF215" s="10"/>
      <c r="AG215" s="10"/>
      <c r="AH215" s="10"/>
      <c r="AI215" s="10"/>
      <c r="AJ215" s="10"/>
      <c r="AK215" s="10">
        <v>3</v>
      </c>
      <c r="AL215" s="10">
        <v>3</v>
      </c>
      <c r="AM215" s="10"/>
      <c r="AN215" s="10">
        <v>3</v>
      </c>
      <c r="AO215" s="10">
        <v>2</v>
      </c>
      <c r="AP215" s="10">
        <v>4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X215" s="9">
        <f t="shared" si="45"/>
        <v>2</v>
      </c>
      <c r="BY215" s="9">
        <f t="shared" si="46"/>
        <v>0</v>
      </c>
      <c r="BZ215" s="9">
        <f t="shared" si="47"/>
        <v>2</v>
      </c>
      <c r="CA215" s="9">
        <f t="shared" si="48"/>
        <v>3</v>
      </c>
      <c r="CB215" s="9">
        <f t="shared" si="49"/>
        <v>2</v>
      </c>
      <c r="CC215" s="9">
        <f t="shared" si="50"/>
        <v>4</v>
      </c>
      <c r="CD215" s="9">
        <f t="shared" si="51"/>
        <v>0</v>
      </c>
      <c r="CE215" s="21">
        <f t="shared" si="52"/>
        <v>3.6666666666666665</v>
      </c>
      <c r="CF215" s="21">
        <f t="shared" si="53"/>
        <v>0</v>
      </c>
      <c r="CG215" s="21">
        <f t="shared" si="54"/>
        <v>2.8333333333333335</v>
      </c>
      <c r="CH215" s="21">
        <f t="shared" si="55"/>
        <v>3</v>
      </c>
      <c r="CI215" s="21">
        <f t="shared" si="56"/>
        <v>4</v>
      </c>
      <c r="CJ215" s="21">
        <f t="shared" si="57"/>
        <v>2.7</v>
      </c>
    </row>
    <row r="216" spans="1:88">
      <c r="A216" s="9">
        <v>216</v>
      </c>
      <c r="B216" s="9" t="s">
        <v>119</v>
      </c>
      <c r="D216" s="9" t="s">
        <v>86</v>
      </c>
      <c r="E216" s="9" t="s">
        <v>74</v>
      </c>
      <c r="F216" s="9" t="s">
        <v>78</v>
      </c>
      <c r="G216" s="9">
        <v>2023</v>
      </c>
      <c r="H216" s="9" t="s">
        <v>203</v>
      </c>
      <c r="I216" s="9" t="s">
        <v>203</v>
      </c>
      <c r="J216" s="9" t="s">
        <v>65</v>
      </c>
      <c r="K216" s="9" t="s">
        <v>323</v>
      </c>
      <c r="P216" s="10">
        <v>4</v>
      </c>
      <c r="Q216" s="10">
        <v>4</v>
      </c>
      <c r="R216" s="10">
        <v>3</v>
      </c>
      <c r="S216" s="10">
        <v>3</v>
      </c>
      <c r="T216" s="10">
        <v>4</v>
      </c>
      <c r="U216" s="10">
        <v>3</v>
      </c>
      <c r="V216" s="10">
        <v>3.5</v>
      </c>
      <c r="W216" s="11">
        <v>5</v>
      </c>
      <c r="X216" s="11">
        <v>5</v>
      </c>
      <c r="Y216" s="11">
        <v>5</v>
      </c>
      <c r="Z216" s="11">
        <v>4</v>
      </c>
      <c r="AA216" s="11">
        <v>5</v>
      </c>
      <c r="AB216" s="11">
        <v>3</v>
      </c>
      <c r="AC216" s="11">
        <v>4.5</v>
      </c>
      <c r="AD216" s="10"/>
      <c r="AE216" s="10"/>
      <c r="AF216" s="10"/>
      <c r="AG216" s="10"/>
      <c r="AH216" s="10"/>
      <c r="AI216" s="10"/>
      <c r="AJ216" s="10">
        <v>5</v>
      </c>
      <c r="AK216" s="10"/>
      <c r="AL216" s="10">
        <v>3</v>
      </c>
      <c r="AM216" s="10">
        <v>4</v>
      </c>
      <c r="AN216" s="10">
        <v>3.5</v>
      </c>
      <c r="AO216" s="10">
        <v>5</v>
      </c>
      <c r="AP216" s="10">
        <v>5</v>
      </c>
      <c r="AQ216" s="12">
        <v>2</v>
      </c>
      <c r="AR216" s="12">
        <v>1</v>
      </c>
      <c r="AS216" s="12">
        <v>2</v>
      </c>
      <c r="AT216" s="12">
        <v>3</v>
      </c>
      <c r="AU216" s="12">
        <v>1.5</v>
      </c>
      <c r="AV216" s="12">
        <v>1.9</v>
      </c>
      <c r="AW216" s="12">
        <v>2</v>
      </c>
      <c r="AX216" s="12">
        <v>1</v>
      </c>
      <c r="AY216" s="12">
        <v>2</v>
      </c>
      <c r="AZ216" s="12">
        <v>2</v>
      </c>
      <c r="BA216" s="12">
        <v>2</v>
      </c>
      <c r="BB216" s="13">
        <v>659</v>
      </c>
      <c r="BC216" s="13">
        <v>1148</v>
      </c>
      <c r="BD216" s="13">
        <v>489</v>
      </c>
      <c r="BE216" s="13">
        <v>0.74</v>
      </c>
      <c r="BF216" s="13" t="s">
        <v>209</v>
      </c>
      <c r="BG216" s="13" t="s">
        <v>326</v>
      </c>
      <c r="BH216" s="13" t="s">
        <v>330</v>
      </c>
      <c r="BI216" s="13" t="s">
        <v>325</v>
      </c>
      <c r="BX216" s="9">
        <f t="shared" si="45"/>
        <v>3</v>
      </c>
      <c r="BY216" s="9">
        <f t="shared" si="46"/>
        <v>5</v>
      </c>
      <c r="BZ216" s="9">
        <f t="shared" si="47"/>
        <v>3</v>
      </c>
      <c r="CA216" s="9">
        <f t="shared" si="48"/>
        <v>3</v>
      </c>
      <c r="CB216" s="9">
        <f t="shared" si="49"/>
        <v>5</v>
      </c>
      <c r="CC216" s="9">
        <f t="shared" si="50"/>
        <v>5</v>
      </c>
      <c r="CD216" s="9">
        <f t="shared" si="51"/>
        <v>3</v>
      </c>
      <c r="CE216" s="21">
        <f t="shared" si="52"/>
        <v>4.5</v>
      </c>
      <c r="CF216" s="21">
        <f t="shared" si="53"/>
        <v>5</v>
      </c>
      <c r="CG216" s="21">
        <f t="shared" si="54"/>
        <v>3.5</v>
      </c>
      <c r="CH216" s="21">
        <f t="shared" si="55"/>
        <v>3.5</v>
      </c>
      <c r="CI216" s="21">
        <f t="shared" si="56"/>
        <v>5</v>
      </c>
      <c r="CJ216" s="21">
        <f t="shared" si="57"/>
        <v>4.3</v>
      </c>
    </row>
    <row r="217" spans="1:88">
      <c r="A217" s="9">
        <v>217</v>
      </c>
      <c r="B217" s="9" t="s">
        <v>119</v>
      </c>
      <c r="D217" s="9" t="s">
        <v>72</v>
      </c>
      <c r="E217" s="9" t="s">
        <v>63</v>
      </c>
      <c r="F217" s="9" t="s">
        <v>78</v>
      </c>
      <c r="G217" s="9">
        <v>2022</v>
      </c>
      <c r="H217" s="9" t="s">
        <v>65</v>
      </c>
      <c r="I217" s="9" t="s">
        <v>83</v>
      </c>
      <c r="K217" s="9" t="s">
        <v>322</v>
      </c>
      <c r="M217" s="9" t="s">
        <v>70</v>
      </c>
      <c r="P217" s="10">
        <v>3.5</v>
      </c>
      <c r="Q217" s="10">
        <v>4</v>
      </c>
      <c r="R217" s="10">
        <v>3</v>
      </c>
      <c r="S217" s="10">
        <v>4</v>
      </c>
      <c r="T217" s="10">
        <v>4</v>
      </c>
      <c r="U217" s="10">
        <v>4</v>
      </c>
      <c r="V217" s="10">
        <v>3.75</v>
      </c>
      <c r="W217" s="11">
        <v>4</v>
      </c>
      <c r="X217" s="11">
        <v>4</v>
      </c>
      <c r="Y217" s="11">
        <v>4</v>
      </c>
      <c r="Z217" s="11">
        <v>4</v>
      </c>
      <c r="AA217" s="11">
        <v>4</v>
      </c>
      <c r="AB217" s="11">
        <v>4</v>
      </c>
      <c r="AC217" s="11">
        <v>4</v>
      </c>
      <c r="AD217" s="10"/>
      <c r="AE217" s="10"/>
      <c r="AF217" s="10"/>
      <c r="AG217" s="10"/>
      <c r="AH217" s="10"/>
      <c r="AI217" s="10"/>
      <c r="AJ217" s="10"/>
      <c r="AK217" s="10">
        <v>1</v>
      </c>
      <c r="AL217" s="10">
        <v>4</v>
      </c>
      <c r="AM217" s="10">
        <v>4</v>
      </c>
      <c r="AN217" s="10">
        <v>3</v>
      </c>
      <c r="AO217" s="10">
        <v>5</v>
      </c>
      <c r="AP217" s="10">
        <v>4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X217" s="9">
        <f t="shared" si="45"/>
        <v>4</v>
      </c>
      <c r="BY217" s="9">
        <f t="shared" si="46"/>
        <v>0</v>
      </c>
      <c r="BZ217" s="9">
        <f t="shared" si="47"/>
        <v>3</v>
      </c>
      <c r="CA217" s="9">
        <f t="shared" si="48"/>
        <v>1</v>
      </c>
      <c r="CB217" s="9">
        <f t="shared" si="49"/>
        <v>5</v>
      </c>
      <c r="CC217" s="9">
        <f t="shared" si="50"/>
        <v>4</v>
      </c>
      <c r="CD217" s="9">
        <f t="shared" si="51"/>
        <v>0</v>
      </c>
      <c r="CE217" s="21">
        <f t="shared" si="52"/>
        <v>4</v>
      </c>
      <c r="CF217" s="21">
        <f t="shared" si="53"/>
        <v>0</v>
      </c>
      <c r="CG217" s="21">
        <f t="shared" si="54"/>
        <v>3.75</v>
      </c>
      <c r="CH217" s="21">
        <f t="shared" si="55"/>
        <v>3</v>
      </c>
      <c r="CI217" s="21">
        <f t="shared" si="56"/>
        <v>4</v>
      </c>
      <c r="CJ217" s="21">
        <f t="shared" si="57"/>
        <v>2.95</v>
      </c>
    </row>
    <row r="218" spans="1:88">
      <c r="A218" s="9">
        <v>218</v>
      </c>
      <c r="B218" s="9" t="s">
        <v>119</v>
      </c>
      <c r="D218" s="9" t="s">
        <v>75</v>
      </c>
      <c r="E218" s="9" t="s">
        <v>63</v>
      </c>
      <c r="F218" s="9" t="s">
        <v>78</v>
      </c>
      <c r="G218" s="9">
        <v>2022</v>
      </c>
      <c r="H218" s="9" t="s">
        <v>65</v>
      </c>
      <c r="I218" s="9" t="s">
        <v>83</v>
      </c>
      <c r="J218" s="9" t="s">
        <v>65</v>
      </c>
      <c r="K218" s="9" t="s">
        <v>323</v>
      </c>
      <c r="N218" s="9" t="s">
        <v>70</v>
      </c>
      <c r="P218" s="10">
        <v>3</v>
      </c>
      <c r="Q218" s="10">
        <v>3</v>
      </c>
      <c r="R218" s="10">
        <v>2</v>
      </c>
      <c r="S218" s="10">
        <v>3</v>
      </c>
      <c r="T218" s="10">
        <v>2.5</v>
      </c>
      <c r="U218" s="10">
        <v>2</v>
      </c>
      <c r="V218" s="10">
        <v>2.5833333333333335</v>
      </c>
      <c r="W218" s="11">
        <v>3.5</v>
      </c>
      <c r="X218" s="11">
        <v>4</v>
      </c>
      <c r="Y218" s="11">
        <v>2</v>
      </c>
      <c r="Z218" s="11">
        <v>3.5</v>
      </c>
      <c r="AA218" s="11">
        <v>3</v>
      </c>
      <c r="AB218" s="11">
        <v>3</v>
      </c>
      <c r="AC218" s="11">
        <v>3.1666666666666665</v>
      </c>
      <c r="AD218" s="10"/>
      <c r="AE218" s="10"/>
      <c r="AF218" s="10"/>
      <c r="AG218" s="10"/>
      <c r="AH218" s="10"/>
      <c r="AI218" s="10"/>
      <c r="AJ218" s="10">
        <v>4</v>
      </c>
      <c r="AK218" s="10">
        <v>3</v>
      </c>
      <c r="AL218" s="10">
        <v>3</v>
      </c>
      <c r="AM218" s="10">
        <v>3</v>
      </c>
      <c r="AN218" s="10">
        <v>3</v>
      </c>
      <c r="AO218" s="10">
        <v>5</v>
      </c>
      <c r="AP218" s="10">
        <v>4</v>
      </c>
      <c r="AQ218" s="12">
        <v>1</v>
      </c>
      <c r="AR218" s="12">
        <v>1</v>
      </c>
      <c r="AS218" s="12">
        <v>2</v>
      </c>
      <c r="AT218" s="12">
        <v>2</v>
      </c>
      <c r="AU218" s="12">
        <v>1</v>
      </c>
      <c r="AV218" s="12">
        <v>1.4</v>
      </c>
      <c r="AW218" s="12">
        <v>2</v>
      </c>
      <c r="AX218" s="12">
        <v>1</v>
      </c>
      <c r="AY218" s="12">
        <v>3</v>
      </c>
      <c r="AZ218" s="12">
        <v>1</v>
      </c>
      <c r="BA218" s="12">
        <v>1</v>
      </c>
      <c r="BB218" s="13">
        <v>98</v>
      </c>
      <c r="BC218" s="13">
        <v>136</v>
      </c>
      <c r="BD218" s="13">
        <v>452</v>
      </c>
      <c r="BE218" s="13">
        <v>0.5</v>
      </c>
      <c r="BF218" s="13" t="s">
        <v>217</v>
      </c>
      <c r="BG218" s="13" t="s">
        <v>324</v>
      </c>
      <c r="BH218" s="13" t="s">
        <v>327</v>
      </c>
      <c r="BI218" s="13" t="s">
        <v>325</v>
      </c>
      <c r="BX218" s="9">
        <f t="shared" si="45"/>
        <v>2</v>
      </c>
      <c r="BY218" s="9">
        <f t="shared" si="46"/>
        <v>4</v>
      </c>
      <c r="BZ218" s="9">
        <f t="shared" si="47"/>
        <v>2</v>
      </c>
      <c r="CA218" s="9">
        <f t="shared" si="48"/>
        <v>3</v>
      </c>
      <c r="CB218" s="9">
        <f t="shared" si="49"/>
        <v>5</v>
      </c>
      <c r="CC218" s="9">
        <f t="shared" si="50"/>
        <v>4</v>
      </c>
      <c r="CD218" s="9">
        <f t="shared" si="51"/>
        <v>2</v>
      </c>
      <c r="CE218" s="21">
        <f t="shared" si="52"/>
        <v>3.1666666666666665</v>
      </c>
      <c r="CF218" s="21">
        <f t="shared" si="53"/>
        <v>4</v>
      </c>
      <c r="CG218" s="21">
        <f t="shared" si="54"/>
        <v>2.5833333333333335</v>
      </c>
      <c r="CH218" s="21">
        <f t="shared" si="55"/>
        <v>3</v>
      </c>
      <c r="CI218" s="21">
        <f t="shared" si="56"/>
        <v>4</v>
      </c>
      <c r="CJ218" s="21">
        <f t="shared" si="57"/>
        <v>3.35</v>
      </c>
    </row>
    <row r="219" spans="1:88">
      <c r="A219" s="9">
        <v>219</v>
      </c>
      <c r="B219" s="9" t="s">
        <v>204</v>
      </c>
      <c r="D219" s="9" t="s">
        <v>205</v>
      </c>
      <c r="E219" s="9" t="s">
        <v>113</v>
      </c>
      <c r="F219" s="9" t="s">
        <v>78</v>
      </c>
      <c r="H219" s="9" t="s">
        <v>65</v>
      </c>
      <c r="I219" s="9" t="s">
        <v>65</v>
      </c>
      <c r="K219" s="9" t="s">
        <v>322</v>
      </c>
      <c r="P219" s="10">
        <v>3</v>
      </c>
      <c r="Q219" s="10">
        <v>3</v>
      </c>
      <c r="R219" s="10">
        <v>3</v>
      </c>
      <c r="S219" s="10">
        <v>3</v>
      </c>
      <c r="T219" s="10">
        <v>2.5</v>
      </c>
      <c r="U219" s="10">
        <v>3</v>
      </c>
      <c r="V219" s="10">
        <v>2.9166666666666665</v>
      </c>
      <c r="W219" s="11">
        <v>1</v>
      </c>
      <c r="X219" s="11">
        <v>2</v>
      </c>
      <c r="Y219" s="11">
        <v>2</v>
      </c>
      <c r="Z219" s="11">
        <v>3.5</v>
      </c>
      <c r="AA219" s="11">
        <v>2.5</v>
      </c>
      <c r="AB219" s="11">
        <v>1</v>
      </c>
      <c r="AC219" s="11">
        <v>2</v>
      </c>
      <c r="AD219" s="10"/>
      <c r="AE219" s="10"/>
      <c r="AF219" s="10"/>
      <c r="AG219" s="10"/>
      <c r="AH219" s="10"/>
      <c r="AI219" s="10"/>
      <c r="AJ219" s="10">
        <v>1</v>
      </c>
      <c r="AK219" s="10">
        <v>4</v>
      </c>
      <c r="AL219" s="10">
        <v>4</v>
      </c>
      <c r="AM219" s="10">
        <v>3</v>
      </c>
      <c r="AN219" s="10">
        <v>3.6666666666666665</v>
      </c>
      <c r="AO219" s="10">
        <v>3</v>
      </c>
      <c r="AP219" s="10">
        <v>4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X219" s="9">
        <f t="shared" si="45"/>
        <v>1</v>
      </c>
      <c r="BY219" s="9">
        <f t="shared" si="46"/>
        <v>1</v>
      </c>
      <c r="BZ219" s="9">
        <f t="shared" si="47"/>
        <v>2.5</v>
      </c>
      <c r="CA219" s="9">
        <f t="shared" si="48"/>
        <v>3</v>
      </c>
      <c r="CB219" s="9">
        <f t="shared" si="49"/>
        <v>3</v>
      </c>
      <c r="CC219" s="9">
        <f t="shared" si="50"/>
        <v>4</v>
      </c>
      <c r="CD219" s="9">
        <f t="shared" si="51"/>
        <v>1</v>
      </c>
      <c r="CE219" s="21">
        <f t="shared" si="52"/>
        <v>2</v>
      </c>
      <c r="CF219" s="21">
        <f t="shared" si="53"/>
        <v>1</v>
      </c>
      <c r="CG219" s="21">
        <f t="shared" si="54"/>
        <v>2.9166666666666665</v>
      </c>
      <c r="CH219" s="21">
        <f t="shared" si="55"/>
        <v>3.6666666666666665</v>
      </c>
      <c r="CI219" s="21">
        <f t="shared" si="56"/>
        <v>4</v>
      </c>
      <c r="CJ219" s="21">
        <f t="shared" si="57"/>
        <v>2.7166666666666663</v>
      </c>
    </row>
    <row r="220" spans="1:88">
      <c r="A220" s="9">
        <v>220</v>
      </c>
      <c r="B220" s="9" t="s">
        <v>204</v>
      </c>
      <c r="D220" s="9" t="s">
        <v>62</v>
      </c>
      <c r="E220" s="9" t="s">
        <v>105</v>
      </c>
      <c r="F220" s="9" t="s">
        <v>64</v>
      </c>
      <c r="H220" s="9" t="s">
        <v>65</v>
      </c>
      <c r="I220" s="9" t="s">
        <v>65</v>
      </c>
      <c r="K220" s="9" t="s">
        <v>322</v>
      </c>
      <c r="P220" s="10">
        <v>3.5</v>
      </c>
      <c r="Q220" s="10">
        <v>4</v>
      </c>
      <c r="R220" s="10">
        <v>4</v>
      </c>
      <c r="S220" s="10">
        <v>4</v>
      </c>
      <c r="T220" s="10">
        <v>3.5</v>
      </c>
      <c r="U220" s="10">
        <v>4</v>
      </c>
      <c r="V220" s="10">
        <v>3.8333333333333335</v>
      </c>
      <c r="W220" s="11">
        <v>1</v>
      </c>
      <c r="X220" s="11">
        <v>3</v>
      </c>
      <c r="Y220" s="11">
        <v>4</v>
      </c>
      <c r="Z220" s="11">
        <v>4</v>
      </c>
      <c r="AA220" s="11">
        <v>4</v>
      </c>
      <c r="AB220" s="11">
        <v>3</v>
      </c>
      <c r="AC220" s="11">
        <v>3.1666666666666665</v>
      </c>
      <c r="AD220" s="10"/>
      <c r="AE220" s="10"/>
      <c r="AF220" s="10"/>
      <c r="AG220" s="10"/>
      <c r="AH220" s="10"/>
      <c r="AI220" s="10"/>
      <c r="AJ220" s="10">
        <v>1</v>
      </c>
      <c r="AK220" s="10">
        <v>5</v>
      </c>
      <c r="AL220" s="10">
        <v>5</v>
      </c>
      <c r="AM220" s="10"/>
      <c r="AN220" s="10">
        <v>5</v>
      </c>
      <c r="AO220" s="10">
        <v>4</v>
      </c>
      <c r="AP220" s="10">
        <v>5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X220" s="9">
        <f t="shared" si="45"/>
        <v>1</v>
      </c>
      <c r="BY220" s="9">
        <f t="shared" si="46"/>
        <v>1</v>
      </c>
      <c r="BZ220" s="9">
        <f t="shared" si="47"/>
        <v>3.5</v>
      </c>
      <c r="CA220" s="9">
        <f t="shared" si="48"/>
        <v>5</v>
      </c>
      <c r="CB220" s="9">
        <f t="shared" si="49"/>
        <v>4</v>
      </c>
      <c r="CC220" s="9">
        <f t="shared" si="50"/>
        <v>5</v>
      </c>
      <c r="CD220" s="9">
        <f t="shared" si="51"/>
        <v>1</v>
      </c>
      <c r="CE220" s="21">
        <f t="shared" si="52"/>
        <v>3.1666666666666665</v>
      </c>
      <c r="CF220" s="21">
        <f t="shared" si="53"/>
        <v>1</v>
      </c>
      <c r="CG220" s="21">
        <f t="shared" si="54"/>
        <v>3.8333333333333335</v>
      </c>
      <c r="CH220" s="21">
        <f t="shared" si="55"/>
        <v>5</v>
      </c>
      <c r="CI220" s="21">
        <f t="shared" si="56"/>
        <v>5</v>
      </c>
      <c r="CJ220" s="21">
        <f t="shared" si="57"/>
        <v>3.6</v>
      </c>
    </row>
    <row r="221" spans="1:88">
      <c r="A221" s="9">
        <v>221</v>
      </c>
      <c r="B221" s="9" t="s">
        <v>204</v>
      </c>
      <c r="D221" s="9" t="s">
        <v>96</v>
      </c>
      <c r="E221" s="9" t="s">
        <v>74</v>
      </c>
      <c r="H221" s="9" t="s">
        <v>65</v>
      </c>
      <c r="I221" s="9" t="s">
        <v>65</v>
      </c>
      <c r="K221" s="9" t="s">
        <v>322</v>
      </c>
      <c r="P221" s="10">
        <v>3</v>
      </c>
      <c r="Q221" s="10">
        <v>3</v>
      </c>
      <c r="R221" s="10">
        <v>3</v>
      </c>
      <c r="S221" s="10">
        <v>3.5</v>
      </c>
      <c r="T221" s="10">
        <v>4</v>
      </c>
      <c r="U221" s="10">
        <v>3</v>
      </c>
      <c r="V221" s="10">
        <v>3.25</v>
      </c>
      <c r="W221" s="11">
        <v>1</v>
      </c>
      <c r="X221" s="11">
        <v>1</v>
      </c>
      <c r="Y221" s="11">
        <v>1</v>
      </c>
      <c r="Z221" s="11">
        <v>1</v>
      </c>
      <c r="AA221" s="11">
        <v>1</v>
      </c>
      <c r="AB221" s="11">
        <v>1</v>
      </c>
      <c r="AC221" s="11">
        <v>1</v>
      </c>
      <c r="AD221" s="10"/>
      <c r="AE221" s="10"/>
      <c r="AF221" s="10"/>
      <c r="AG221" s="10"/>
      <c r="AH221" s="10"/>
      <c r="AI221" s="10"/>
      <c r="AJ221" s="10">
        <v>1</v>
      </c>
      <c r="AK221" s="10">
        <v>4</v>
      </c>
      <c r="AL221" s="10">
        <v>4</v>
      </c>
      <c r="AM221" s="10"/>
      <c r="AN221" s="10">
        <v>4</v>
      </c>
      <c r="AO221" s="10">
        <v>4</v>
      </c>
      <c r="AP221" s="10">
        <v>5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X221" s="9">
        <f t="shared" si="45"/>
        <v>1</v>
      </c>
      <c r="BY221" s="9">
        <f t="shared" si="46"/>
        <v>1</v>
      </c>
      <c r="BZ221" s="9">
        <f t="shared" si="47"/>
        <v>3</v>
      </c>
      <c r="CA221" s="9">
        <f t="shared" si="48"/>
        <v>4</v>
      </c>
      <c r="CB221" s="9">
        <f t="shared" si="49"/>
        <v>4</v>
      </c>
      <c r="CC221" s="9">
        <f t="shared" si="50"/>
        <v>5</v>
      </c>
      <c r="CD221" s="9">
        <f t="shared" si="51"/>
        <v>1</v>
      </c>
      <c r="CE221" s="21">
        <f t="shared" si="52"/>
        <v>1</v>
      </c>
      <c r="CF221" s="21">
        <f t="shared" si="53"/>
        <v>1</v>
      </c>
      <c r="CG221" s="21">
        <f t="shared" si="54"/>
        <v>3.25</v>
      </c>
      <c r="CH221" s="21">
        <f t="shared" si="55"/>
        <v>4</v>
      </c>
      <c r="CI221" s="21">
        <f t="shared" si="56"/>
        <v>5</v>
      </c>
      <c r="CJ221" s="21">
        <f t="shared" si="57"/>
        <v>2.85</v>
      </c>
    </row>
    <row r="222" spans="1:88">
      <c r="A222" s="9">
        <v>222</v>
      </c>
      <c r="B222" s="9" t="s">
        <v>204</v>
      </c>
      <c r="D222" s="9" t="s">
        <v>73</v>
      </c>
      <c r="E222" s="9" t="s">
        <v>63</v>
      </c>
      <c r="F222" s="9" t="s">
        <v>78</v>
      </c>
      <c r="H222" s="9" t="s">
        <v>65</v>
      </c>
      <c r="I222" s="9" t="s">
        <v>65</v>
      </c>
      <c r="K222" s="9" t="s">
        <v>322</v>
      </c>
      <c r="P222" s="10">
        <v>3</v>
      </c>
      <c r="Q222" s="10">
        <v>3</v>
      </c>
      <c r="R222" s="10">
        <v>3</v>
      </c>
      <c r="S222" s="10">
        <v>3</v>
      </c>
      <c r="T222" s="10">
        <v>3.5</v>
      </c>
      <c r="U222" s="10">
        <v>3</v>
      </c>
      <c r="V222" s="10">
        <v>3.8333333333333002</v>
      </c>
      <c r="W222" s="11">
        <v>1</v>
      </c>
      <c r="X222" s="11">
        <v>4</v>
      </c>
      <c r="Y222" s="11">
        <v>2</v>
      </c>
      <c r="Z222" s="11">
        <v>3</v>
      </c>
      <c r="AA222" s="11">
        <v>4</v>
      </c>
      <c r="AB222" s="11">
        <v>3</v>
      </c>
      <c r="AC222" s="11">
        <v>2.8333333333333335</v>
      </c>
      <c r="AD222" s="10"/>
      <c r="AE222" s="10"/>
      <c r="AF222" s="10"/>
      <c r="AG222" s="10"/>
      <c r="AH222" s="10"/>
      <c r="AI222" s="10"/>
      <c r="AJ222" s="10">
        <v>4</v>
      </c>
      <c r="AK222" s="10">
        <v>2</v>
      </c>
      <c r="AL222" s="10">
        <v>4</v>
      </c>
      <c r="AM222" s="10"/>
      <c r="AN222" s="10">
        <v>3</v>
      </c>
      <c r="AO222" s="10">
        <v>3</v>
      </c>
      <c r="AP222" s="10">
        <v>4.5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X222" s="9">
        <f t="shared" si="45"/>
        <v>1</v>
      </c>
      <c r="BY222" s="9">
        <f t="shared" si="46"/>
        <v>4</v>
      </c>
      <c r="BZ222" s="9">
        <f t="shared" si="47"/>
        <v>3</v>
      </c>
      <c r="CA222" s="9">
        <f t="shared" si="48"/>
        <v>2</v>
      </c>
      <c r="CB222" s="9">
        <f t="shared" si="49"/>
        <v>3</v>
      </c>
      <c r="CC222" s="9">
        <f t="shared" si="50"/>
        <v>4.5</v>
      </c>
      <c r="CD222" s="9">
        <f t="shared" si="51"/>
        <v>1</v>
      </c>
      <c r="CE222" s="21">
        <f t="shared" si="52"/>
        <v>2.8333333333333335</v>
      </c>
      <c r="CF222" s="21">
        <f t="shared" si="53"/>
        <v>4</v>
      </c>
      <c r="CG222" s="21">
        <f t="shared" si="54"/>
        <v>3.8333333333333002</v>
      </c>
      <c r="CH222" s="21">
        <f t="shared" si="55"/>
        <v>3</v>
      </c>
      <c r="CI222" s="21">
        <f t="shared" si="56"/>
        <v>4.5</v>
      </c>
      <c r="CJ222" s="21">
        <f t="shared" si="57"/>
        <v>3.6333333333333271</v>
      </c>
    </row>
    <row r="223" spans="1:88">
      <c r="A223" s="9">
        <v>223</v>
      </c>
      <c r="B223" s="9" t="s">
        <v>204</v>
      </c>
      <c r="D223" s="9" t="s">
        <v>206</v>
      </c>
      <c r="E223" s="9" t="s">
        <v>78</v>
      </c>
      <c r="F223" s="9" t="s">
        <v>78</v>
      </c>
      <c r="H223" s="9" t="s">
        <v>65</v>
      </c>
      <c r="I223" s="9" t="s">
        <v>65</v>
      </c>
      <c r="K223" s="9" t="s">
        <v>322</v>
      </c>
      <c r="L223" s="9" t="s">
        <v>70</v>
      </c>
      <c r="N223" s="9" t="s">
        <v>70</v>
      </c>
      <c r="P223" s="10">
        <v>5</v>
      </c>
      <c r="Q223" s="10">
        <v>5</v>
      </c>
      <c r="R223" s="10">
        <v>1</v>
      </c>
      <c r="S223" s="10">
        <v>5</v>
      </c>
      <c r="T223" s="10">
        <v>5</v>
      </c>
      <c r="U223" s="10">
        <v>5</v>
      </c>
      <c r="V223" s="10">
        <v>4.333333333333333</v>
      </c>
      <c r="W223" s="11">
        <v>5</v>
      </c>
      <c r="X223" s="11">
        <v>5</v>
      </c>
      <c r="Y223" s="11">
        <v>5</v>
      </c>
      <c r="Z223" s="11">
        <v>5</v>
      </c>
      <c r="AA223" s="11">
        <v>5</v>
      </c>
      <c r="AB223" s="11">
        <v>5</v>
      </c>
      <c r="AC223" s="11">
        <v>5</v>
      </c>
      <c r="AD223" s="10"/>
      <c r="AE223" s="10"/>
      <c r="AF223" s="10"/>
      <c r="AG223" s="10"/>
      <c r="AH223" s="10"/>
      <c r="AI223" s="10"/>
      <c r="AJ223" s="10"/>
      <c r="AK223" s="10">
        <v>5</v>
      </c>
      <c r="AL223" s="10">
        <v>5</v>
      </c>
      <c r="AM223" s="10"/>
      <c r="AN223" s="10">
        <v>5</v>
      </c>
      <c r="AO223" s="10">
        <v>5</v>
      </c>
      <c r="AP223" s="10">
        <v>5</v>
      </c>
      <c r="AQ223" s="12">
        <v>3</v>
      </c>
      <c r="AR223" s="12">
        <v>3</v>
      </c>
      <c r="AS223" s="12">
        <v>3</v>
      </c>
      <c r="AT223" s="12">
        <v>3</v>
      </c>
      <c r="AU223" s="12">
        <v>3</v>
      </c>
      <c r="AV223" s="12">
        <v>3</v>
      </c>
      <c r="AW223" s="12">
        <v>3</v>
      </c>
      <c r="AX223" s="12">
        <v>1</v>
      </c>
      <c r="AY223" s="12">
        <v>3</v>
      </c>
      <c r="AZ223" s="12">
        <v>3</v>
      </c>
      <c r="BA223" s="12">
        <v>3</v>
      </c>
      <c r="BB223" s="13">
        <v>1221</v>
      </c>
      <c r="BC223" s="13">
        <v>1572</v>
      </c>
      <c r="BD223" s="13">
        <v>351</v>
      </c>
      <c r="BE223" s="13">
        <v>0.28999999999999998</v>
      </c>
      <c r="BF223" s="13" t="s">
        <v>217</v>
      </c>
      <c r="BG223" s="13" t="s">
        <v>324</v>
      </c>
      <c r="BH223" s="13" t="s">
        <v>327</v>
      </c>
      <c r="BI223" s="13" t="s">
        <v>328</v>
      </c>
      <c r="BX223" s="9">
        <f t="shared" si="45"/>
        <v>5</v>
      </c>
      <c r="BY223" s="9">
        <f t="shared" si="46"/>
        <v>0</v>
      </c>
      <c r="BZ223" s="9">
        <f t="shared" si="47"/>
        <v>1</v>
      </c>
      <c r="CA223" s="9">
        <f t="shared" si="48"/>
        <v>5</v>
      </c>
      <c r="CB223" s="9">
        <f t="shared" si="49"/>
        <v>5</v>
      </c>
      <c r="CC223" s="9">
        <f t="shared" si="50"/>
        <v>5</v>
      </c>
      <c r="CD223" s="9">
        <f t="shared" si="51"/>
        <v>0</v>
      </c>
      <c r="CE223" s="21">
        <f t="shared" si="52"/>
        <v>5</v>
      </c>
      <c r="CF223" s="21">
        <f t="shared" si="53"/>
        <v>0</v>
      </c>
      <c r="CG223" s="21">
        <f t="shared" si="54"/>
        <v>4.333333333333333</v>
      </c>
      <c r="CH223" s="21">
        <f t="shared" si="55"/>
        <v>5</v>
      </c>
      <c r="CI223" s="21">
        <f t="shared" si="56"/>
        <v>5</v>
      </c>
      <c r="CJ223" s="21">
        <f t="shared" si="57"/>
        <v>3.8666666666666663</v>
      </c>
    </row>
    <row r="224" spans="1:88">
      <c r="S224" s="10"/>
      <c r="T224" s="10"/>
      <c r="U224" s="10"/>
      <c r="V224" s="10"/>
      <c r="W224" s="11"/>
      <c r="X224" s="11"/>
      <c r="Y224" s="11"/>
      <c r="Z224" s="11"/>
      <c r="AA224" s="11"/>
      <c r="AB224" s="11"/>
      <c r="AC224" s="11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X224" s="9">
        <f t="shared" si="45"/>
        <v>0</v>
      </c>
      <c r="BY224" s="9">
        <f t="shared" si="46"/>
        <v>0</v>
      </c>
      <c r="BZ224" s="9">
        <f t="shared" si="47"/>
        <v>0</v>
      </c>
      <c r="CA224" s="9">
        <f t="shared" si="48"/>
        <v>0</v>
      </c>
      <c r="CB224" s="9">
        <f t="shared" si="49"/>
        <v>0</v>
      </c>
      <c r="CC224" s="9">
        <f t="shared" si="50"/>
        <v>0</v>
      </c>
      <c r="CD224" s="9">
        <f t="shared" si="51"/>
        <v>0</v>
      </c>
      <c r="CE224" s="21">
        <f t="shared" si="52"/>
        <v>0</v>
      </c>
      <c r="CF224" s="21">
        <f t="shared" si="53"/>
        <v>0</v>
      </c>
      <c r="CG224" s="21">
        <f t="shared" si="54"/>
        <v>0</v>
      </c>
      <c r="CH224" s="21">
        <f t="shared" si="55"/>
        <v>0</v>
      </c>
      <c r="CI224" s="21">
        <f t="shared" si="56"/>
        <v>0</v>
      </c>
      <c r="CJ224" s="21">
        <f t="shared" si="57"/>
        <v>0</v>
      </c>
    </row>
    <row r="225" spans="1:88">
      <c r="S225" s="10"/>
      <c r="T225" s="10"/>
      <c r="U225" s="10"/>
      <c r="V225" s="10"/>
      <c r="W225" s="11"/>
      <c r="X225" s="11"/>
      <c r="Y225" s="11"/>
      <c r="Z225" s="11"/>
      <c r="AA225" s="11"/>
      <c r="AB225" s="11"/>
      <c r="AC225" s="11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X225" s="9">
        <f t="shared" si="45"/>
        <v>0</v>
      </c>
      <c r="BY225" s="9">
        <f t="shared" si="46"/>
        <v>0</v>
      </c>
      <c r="BZ225" s="9">
        <f t="shared" si="47"/>
        <v>0</v>
      </c>
      <c r="CA225" s="9">
        <f t="shared" si="48"/>
        <v>0</v>
      </c>
      <c r="CB225" s="9">
        <f t="shared" si="49"/>
        <v>0</v>
      </c>
      <c r="CC225" s="9">
        <f t="shared" si="50"/>
        <v>0</v>
      </c>
      <c r="CD225" s="9">
        <f t="shared" si="51"/>
        <v>0</v>
      </c>
      <c r="CE225" s="21">
        <f t="shared" si="52"/>
        <v>0</v>
      </c>
      <c r="CF225" s="21">
        <f t="shared" si="53"/>
        <v>0</v>
      </c>
      <c r="CG225" s="21">
        <f t="shared" si="54"/>
        <v>0</v>
      </c>
      <c r="CH225" s="21">
        <f t="shared" si="55"/>
        <v>0</v>
      </c>
      <c r="CI225" s="21">
        <f t="shared" si="56"/>
        <v>0</v>
      </c>
      <c r="CJ225" s="21">
        <f t="shared" si="57"/>
        <v>0</v>
      </c>
    </row>
    <row r="226" spans="1:88">
      <c r="S226" s="10"/>
      <c r="T226" s="10"/>
      <c r="U226" s="10"/>
      <c r="V226" s="10"/>
      <c r="W226" s="11"/>
      <c r="X226" s="11"/>
      <c r="Y226" s="11"/>
      <c r="Z226" s="11"/>
      <c r="AA226" s="11"/>
      <c r="AB226" s="11"/>
      <c r="AC226" s="11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X226" s="9">
        <f t="shared" si="45"/>
        <v>0</v>
      </c>
      <c r="BY226" s="9">
        <f t="shared" si="46"/>
        <v>0</v>
      </c>
      <c r="BZ226" s="9">
        <f t="shared" si="47"/>
        <v>0</v>
      </c>
      <c r="CA226" s="9">
        <f t="shared" si="48"/>
        <v>0</v>
      </c>
      <c r="CB226" s="9">
        <f t="shared" si="49"/>
        <v>0</v>
      </c>
      <c r="CC226" s="9">
        <f t="shared" si="50"/>
        <v>0</v>
      </c>
      <c r="CD226" s="9">
        <f t="shared" si="51"/>
        <v>0</v>
      </c>
      <c r="CE226" s="21">
        <f t="shared" si="52"/>
        <v>0</v>
      </c>
      <c r="CF226" s="21">
        <f t="shared" si="53"/>
        <v>0</v>
      </c>
      <c r="CG226" s="21">
        <f t="shared" si="54"/>
        <v>0</v>
      </c>
      <c r="CH226" s="21">
        <f t="shared" si="55"/>
        <v>0</v>
      </c>
      <c r="CI226" s="21">
        <f t="shared" si="56"/>
        <v>0</v>
      </c>
      <c r="CJ226" s="21">
        <f t="shared" si="57"/>
        <v>0</v>
      </c>
    </row>
    <row r="227" spans="1:88">
      <c r="S227" s="10"/>
      <c r="T227" s="10"/>
      <c r="U227" s="10"/>
      <c r="V227" s="10"/>
      <c r="W227" s="11"/>
      <c r="X227" s="11"/>
      <c r="Y227" s="11"/>
      <c r="Z227" s="11"/>
      <c r="AA227" s="11"/>
      <c r="AB227" s="11"/>
      <c r="AC227" s="11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X227" s="9">
        <f t="shared" si="45"/>
        <v>0</v>
      </c>
      <c r="BY227" s="9">
        <f t="shared" si="46"/>
        <v>0</v>
      </c>
      <c r="BZ227" s="9">
        <f t="shared" si="47"/>
        <v>0</v>
      </c>
      <c r="CA227" s="9">
        <f t="shared" si="48"/>
        <v>0</v>
      </c>
      <c r="CB227" s="9">
        <f t="shared" si="49"/>
        <v>0</v>
      </c>
      <c r="CC227" s="9">
        <f t="shared" si="50"/>
        <v>0</v>
      </c>
      <c r="CD227" s="9">
        <f t="shared" si="51"/>
        <v>0</v>
      </c>
      <c r="CE227" s="21">
        <f t="shared" si="52"/>
        <v>0</v>
      </c>
      <c r="CF227" s="21">
        <f t="shared" si="53"/>
        <v>0</v>
      </c>
      <c r="CG227" s="21">
        <f t="shared" si="54"/>
        <v>0</v>
      </c>
      <c r="CH227" s="21">
        <f t="shared" si="55"/>
        <v>0</v>
      </c>
      <c r="CI227" s="21">
        <f t="shared" si="56"/>
        <v>0</v>
      </c>
      <c r="CJ227" s="21">
        <f t="shared" si="57"/>
        <v>0</v>
      </c>
    </row>
    <row r="228" spans="1:88">
      <c r="S228" s="10"/>
      <c r="T228" s="10"/>
      <c r="U228" s="10"/>
      <c r="V228" s="10"/>
      <c r="W228" s="11"/>
      <c r="X228" s="11"/>
      <c r="Y228" s="11"/>
      <c r="Z228" s="11"/>
      <c r="AA228" s="11"/>
      <c r="AB228" s="11"/>
      <c r="AC228" s="11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X228" s="9">
        <f t="shared" si="45"/>
        <v>0</v>
      </c>
      <c r="BY228" s="9">
        <f t="shared" si="46"/>
        <v>0</v>
      </c>
      <c r="BZ228" s="9">
        <f t="shared" si="47"/>
        <v>0</v>
      </c>
      <c r="CA228" s="9">
        <f t="shared" si="48"/>
        <v>0</v>
      </c>
      <c r="CB228" s="9">
        <f t="shared" si="49"/>
        <v>0</v>
      </c>
      <c r="CC228" s="9">
        <f t="shared" si="50"/>
        <v>0</v>
      </c>
      <c r="CD228" s="9">
        <f t="shared" si="51"/>
        <v>0</v>
      </c>
      <c r="CE228" s="21">
        <f t="shared" si="52"/>
        <v>0</v>
      </c>
      <c r="CF228" s="21">
        <f t="shared" si="53"/>
        <v>0</v>
      </c>
      <c r="CG228" s="21">
        <f t="shared" si="54"/>
        <v>0</v>
      </c>
      <c r="CH228" s="21">
        <f t="shared" si="55"/>
        <v>0</v>
      </c>
      <c r="CI228" s="21">
        <f t="shared" si="56"/>
        <v>0</v>
      </c>
      <c r="CJ228" s="21">
        <f t="shared" si="57"/>
        <v>0</v>
      </c>
    </row>
    <row r="229" spans="1:88">
      <c r="S229" s="10"/>
      <c r="T229" s="10"/>
      <c r="U229" s="10"/>
      <c r="V229" s="10"/>
      <c r="W229" s="11"/>
      <c r="X229" s="11"/>
      <c r="Y229" s="11"/>
      <c r="Z229" s="11"/>
      <c r="AA229" s="11"/>
      <c r="AB229" s="11"/>
      <c r="AC229" s="11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X229" s="9">
        <f t="shared" si="45"/>
        <v>0</v>
      </c>
      <c r="BY229" s="9">
        <f t="shared" si="46"/>
        <v>0</v>
      </c>
      <c r="BZ229" s="9">
        <f t="shared" si="47"/>
        <v>0</v>
      </c>
      <c r="CA229" s="9">
        <f t="shared" si="48"/>
        <v>0</v>
      </c>
      <c r="CB229" s="9">
        <f t="shared" si="49"/>
        <v>0</v>
      </c>
      <c r="CC229" s="9">
        <f t="shared" si="50"/>
        <v>0</v>
      </c>
      <c r="CD229" s="9">
        <f t="shared" si="51"/>
        <v>0</v>
      </c>
      <c r="CE229" s="21">
        <f t="shared" si="52"/>
        <v>0</v>
      </c>
      <c r="CF229" s="21">
        <f t="shared" si="53"/>
        <v>0</v>
      </c>
      <c r="CG229" s="21">
        <f t="shared" si="54"/>
        <v>0</v>
      </c>
      <c r="CH229" s="21">
        <f t="shared" si="55"/>
        <v>0</v>
      </c>
      <c r="CI229" s="21">
        <f t="shared" si="56"/>
        <v>0</v>
      </c>
      <c r="CJ229" s="21">
        <f t="shared" si="57"/>
        <v>0</v>
      </c>
    </row>
    <row r="230" spans="1:88">
      <c r="A230" s="9">
        <v>230</v>
      </c>
      <c r="B230" s="9" t="s">
        <v>84</v>
      </c>
      <c r="C230" s="9" t="s">
        <v>85</v>
      </c>
      <c r="D230" s="9" t="s">
        <v>82</v>
      </c>
      <c r="E230" s="9" t="s">
        <v>105</v>
      </c>
      <c r="F230" s="9" t="s">
        <v>78</v>
      </c>
      <c r="H230" s="9" t="s">
        <v>65</v>
      </c>
      <c r="I230" s="9" t="s">
        <v>65</v>
      </c>
      <c r="J230" s="9" t="s">
        <v>65</v>
      </c>
      <c r="K230" s="9" t="s">
        <v>323</v>
      </c>
      <c r="N230" s="9" t="s">
        <v>70</v>
      </c>
      <c r="O230" s="9" t="s">
        <v>70</v>
      </c>
      <c r="P230" s="10">
        <v>2</v>
      </c>
      <c r="Q230" s="10">
        <v>3</v>
      </c>
      <c r="R230" s="10">
        <v>2</v>
      </c>
      <c r="S230" s="10">
        <v>3</v>
      </c>
      <c r="T230" s="10">
        <v>3</v>
      </c>
      <c r="U230" s="10">
        <v>2</v>
      </c>
      <c r="V230" s="10">
        <v>2.5</v>
      </c>
      <c r="W230" s="11">
        <v>1.5</v>
      </c>
      <c r="X230" s="11">
        <v>3</v>
      </c>
      <c r="Y230" s="11">
        <v>3</v>
      </c>
      <c r="Z230" s="11">
        <v>3.5</v>
      </c>
      <c r="AA230" s="11">
        <v>3.5</v>
      </c>
      <c r="AB230" s="11">
        <v>3</v>
      </c>
      <c r="AC230" s="11">
        <v>2.9166666666666665</v>
      </c>
      <c r="AD230" s="10">
        <v>1.5</v>
      </c>
      <c r="AE230" s="10">
        <v>4</v>
      </c>
      <c r="AF230" s="10">
        <v>2</v>
      </c>
      <c r="AG230" s="10">
        <v>3.5</v>
      </c>
      <c r="AH230" s="10">
        <v>4</v>
      </c>
      <c r="AI230" s="10">
        <v>3</v>
      </c>
      <c r="AJ230" s="10">
        <v>3</v>
      </c>
      <c r="AK230" s="10">
        <v>3</v>
      </c>
      <c r="AL230" s="10">
        <v>1</v>
      </c>
      <c r="AM230" s="10">
        <v>4</v>
      </c>
      <c r="AN230" s="10">
        <v>2.6666666666666665</v>
      </c>
      <c r="AO230" s="10">
        <v>2.5</v>
      </c>
      <c r="AP230" s="10">
        <v>3.5</v>
      </c>
      <c r="AQ230" s="12">
        <v>1</v>
      </c>
      <c r="AR230" s="12">
        <v>2</v>
      </c>
      <c r="AS230" s="12">
        <v>3</v>
      </c>
      <c r="AT230" s="12">
        <v>2</v>
      </c>
      <c r="AU230" s="12">
        <v>2</v>
      </c>
      <c r="AV230" s="12">
        <v>2</v>
      </c>
      <c r="AW230" s="12">
        <v>3</v>
      </c>
      <c r="AX230" s="12">
        <v>3</v>
      </c>
      <c r="AY230" s="12">
        <v>1</v>
      </c>
      <c r="AZ230" s="12">
        <v>2</v>
      </c>
      <c r="BA230" s="12">
        <v>3</v>
      </c>
      <c r="BB230" s="13">
        <v>472.8</v>
      </c>
      <c r="BC230" s="13">
        <v>684.3</v>
      </c>
      <c r="BD230" s="13">
        <v>211.5</v>
      </c>
      <c r="BE230" s="13">
        <v>0.45</v>
      </c>
      <c r="BF230" s="13" t="s">
        <v>207</v>
      </c>
      <c r="BG230" s="13" t="s">
        <v>324</v>
      </c>
      <c r="BJ230" s="14" t="s">
        <v>338</v>
      </c>
      <c r="BK230" s="14" t="s">
        <v>339</v>
      </c>
      <c r="BQ230" s="14">
        <v>0</v>
      </c>
      <c r="BR230" s="14">
        <v>0</v>
      </c>
      <c r="BS230" s="14">
        <v>50</v>
      </c>
      <c r="BT230" s="14">
        <v>50</v>
      </c>
      <c r="BU230" s="14">
        <v>50</v>
      </c>
      <c r="BW230" s="14">
        <v>30</v>
      </c>
      <c r="BX230" s="9">
        <f t="shared" si="45"/>
        <v>1.5</v>
      </c>
      <c r="BY230" s="9">
        <f t="shared" si="46"/>
        <v>1.5</v>
      </c>
      <c r="BZ230" s="9">
        <f t="shared" si="47"/>
        <v>2</v>
      </c>
      <c r="CA230" s="9">
        <f t="shared" si="48"/>
        <v>1</v>
      </c>
      <c r="CB230" s="9">
        <f t="shared" si="49"/>
        <v>2.5</v>
      </c>
      <c r="CC230" s="9">
        <f t="shared" si="50"/>
        <v>3.5</v>
      </c>
      <c r="CD230" s="9">
        <f t="shared" si="51"/>
        <v>1</v>
      </c>
      <c r="CE230" s="21">
        <f t="shared" si="52"/>
        <v>2.9166666666666665</v>
      </c>
      <c r="CF230" s="21">
        <f t="shared" si="53"/>
        <v>3</v>
      </c>
      <c r="CG230" s="21">
        <f t="shared" si="54"/>
        <v>2.5</v>
      </c>
      <c r="CH230" s="21">
        <f t="shared" si="55"/>
        <v>2.6666666666666665</v>
      </c>
      <c r="CI230" s="21">
        <f t="shared" si="56"/>
        <v>3.5</v>
      </c>
      <c r="CJ230" s="21">
        <f t="shared" si="57"/>
        <v>2.9166666666666665</v>
      </c>
    </row>
    <row r="231" spans="1:88">
      <c r="A231" s="9">
        <v>231</v>
      </c>
      <c r="B231" s="9" t="s">
        <v>151</v>
      </c>
      <c r="C231" s="9" t="s">
        <v>85</v>
      </c>
      <c r="D231" s="9" t="s">
        <v>208</v>
      </c>
      <c r="E231" s="9" t="s">
        <v>78</v>
      </c>
      <c r="F231" s="9" t="s">
        <v>64</v>
      </c>
      <c r="H231" s="9" t="s">
        <v>65</v>
      </c>
      <c r="I231" s="9" t="s">
        <v>87</v>
      </c>
      <c r="J231" s="9" t="s">
        <v>65</v>
      </c>
      <c r="K231" s="9" t="s">
        <v>323</v>
      </c>
      <c r="N231" s="9" t="s">
        <v>70</v>
      </c>
      <c r="P231" s="10">
        <v>4</v>
      </c>
      <c r="Q231" s="10">
        <v>4</v>
      </c>
      <c r="R231" s="10">
        <v>3</v>
      </c>
      <c r="S231" s="10">
        <v>3.5</v>
      </c>
      <c r="T231" s="10">
        <v>3.5</v>
      </c>
      <c r="U231" s="10">
        <v>3</v>
      </c>
      <c r="V231" s="10">
        <v>3.5</v>
      </c>
      <c r="W231" s="11">
        <v>2.5</v>
      </c>
      <c r="X231" s="11">
        <v>3</v>
      </c>
      <c r="Y231" s="11">
        <v>3</v>
      </c>
      <c r="Z231" s="11">
        <v>3</v>
      </c>
      <c r="AA231" s="11">
        <v>2</v>
      </c>
      <c r="AB231" s="11">
        <v>3</v>
      </c>
      <c r="AC231" s="11">
        <v>2.75</v>
      </c>
      <c r="AD231" s="10">
        <v>2.5</v>
      </c>
      <c r="AE231" s="10">
        <v>4</v>
      </c>
      <c r="AF231" s="10">
        <v>3</v>
      </c>
      <c r="AG231" s="10">
        <v>2.5</v>
      </c>
      <c r="AH231" s="10">
        <v>1.5</v>
      </c>
      <c r="AI231" s="10">
        <v>3</v>
      </c>
      <c r="AJ231" s="10">
        <v>2.75</v>
      </c>
      <c r="AK231" s="10">
        <v>2</v>
      </c>
      <c r="AL231" s="10">
        <v>1</v>
      </c>
      <c r="AM231" s="10">
        <v>2</v>
      </c>
      <c r="AN231" s="10">
        <v>1.6666666666666667</v>
      </c>
      <c r="AO231" s="10">
        <v>5</v>
      </c>
      <c r="AP231" s="10">
        <v>2.6666666666666665</v>
      </c>
      <c r="AQ231" s="12">
        <v>2</v>
      </c>
      <c r="AR231" s="12">
        <v>1</v>
      </c>
      <c r="AS231" s="12">
        <v>1</v>
      </c>
      <c r="AT231" s="12">
        <v>2</v>
      </c>
      <c r="AU231" s="12">
        <v>1.5</v>
      </c>
      <c r="AV231" s="12">
        <v>1.5</v>
      </c>
      <c r="AW231" s="12">
        <v>1</v>
      </c>
      <c r="AX231" s="12">
        <v>1</v>
      </c>
      <c r="AY231" s="12">
        <v>2</v>
      </c>
      <c r="AZ231" s="12">
        <v>2</v>
      </c>
      <c r="BA231" s="12">
        <v>1</v>
      </c>
      <c r="BB231" s="13">
        <v>465.1</v>
      </c>
      <c r="BC231" s="13">
        <v>66.3</v>
      </c>
      <c r="BD231" s="13">
        <v>141.19999999999999</v>
      </c>
      <c r="BE231" s="13">
        <v>0.3</v>
      </c>
      <c r="BF231" s="13" t="s">
        <v>209</v>
      </c>
      <c r="BG231" s="13" t="s">
        <v>326</v>
      </c>
      <c r="BJ231" s="14" t="s">
        <v>340</v>
      </c>
      <c r="BK231" s="14" t="s">
        <v>341</v>
      </c>
      <c r="BL231" s="14" t="s">
        <v>342</v>
      </c>
      <c r="BM231" s="14" t="s">
        <v>343</v>
      </c>
      <c r="BN231" s="14" t="s">
        <v>342</v>
      </c>
      <c r="BO231" s="14" t="s">
        <v>344</v>
      </c>
      <c r="BQ231" s="14">
        <v>50</v>
      </c>
      <c r="BR231" s="14">
        <v>50</v>
      </c>
      <c r="BS231" s="14">
        <v>60</v>
      </c>
      <c r="BT231" s="14">
        <v>70</v>
      </c>
      <c r="BW231" s="14">
        <v>57.5</v>
      </c>
      <c r="BX231" s="9">
        <f t="shared" si="45"/>
        <v>2</v>
      </c>
      <c r="BY231" s="9">
        <f t="shared" si="46"/>
        <v>1.5</v>
      </c>
      <c r="BZ231" s="9">
        <f t="shared" si="47"/>
        <v>3</v>
      </c>
      <c r="CA231" s="9">
        <f t="shared" si="48"/>
        <v>1</v>
      </c>
      <c r="CB231" s="9">
        <f t="shared" si="49"/>
        <v>5</v>
      </c>
      <c r="CC231" s="9">
        <f t="shared" si="50"/>
        <v>2.6666666666666665</v>
      </c>
      <c r="CD231" s="9">
        <f t="shared" si="51"/>
        <v>1</v>
      </c>
      <c r="CE231" s="21">
        <f t="shared" si="52"/>
        <v>2.75</v>
      </c>
      <c r="CF231" s="21">
        <f t="shared" si="53"/>
        <v>2.75</v>
      </c>
      <c r="CG231" s="21">
        <f t="shared" si="54"/>
        <v>3.5</v>
      </c>
      <c r="CH231" s="21">
        <f t="shared" si="55"/>
        <v>1.6666666666666667</v>
      </c>
      <c r="CI231" s="21">
        <f t="shared" si="56"/>
        <v>2.6666666666666665</v>
      </c>
      <c r="CJ231" s="21">
        <f t="shared" si="57"/>
        <v>2.6666666666666665</v>
      </c>
    </row>
    <row r="232" spans="1:88">
      <c r="A232" s="9">
        <v>232</v>
      </c>
      <c r="B232" s="9" t="s">
        <v>210</v>
      </c>
      <c r="C232" s="9" t="s">
        <v>211</v>
      </c>
      <c r="D232" s="9" t="s">
        <v>96</v>
      </c>
      <c r="E232" s="9" t="s">
        <v>78</v>
      </c>
      <c r="F232" s="9" t="s">
        <v>78</v>
      </c>
      <c r="H232" s="9" t="s">
        <v>65</v>
      </c>
      <c r="I232" s="9" t="s">
        <v>65</v>
      </c>
      <c r="J232" s="9" t="s">
        <v>65</v>
      </c>
      <c r="K232" s="9" t="s">
        <v>323</v>
      </c>
      <c r="N232" s="9" t="s">
        <v>70</v>
      </c>
      <c r="O232" s="9" t="s">
        <v>70</v>
      </c>
      <c r="P232" s="10">
        <v>2</v>
      </c>
      <c r="Q232" s="10">
        <v>3</v>
      </c>
      <c r="R232" s="10">
        <v>2</v>
      </c>
      <c r="S232" s="10">
        <v>2.5</v>
      </c>
      <c r="T232" s="10">
        <v>2</v>
      </c>
      <c r="U232" s="10">
        <v>2</v>
      </c>
      <c r="V232" s="10">
        <v>2.25</v>
      </c>
      <c r="W232" s="11">
        <v>1</v>
      </c>
      <c r="X232" s="11">
        <v>2</v>
      </c>
      <c r="Y232" s="11">
        <v>3</v>
      </c>
      <c r="Z232" s="11">
        <v>2.5</v>
      </c>
      <c r="AA232" s="11">
        <v>3</v>
      </c>
      <c r="AB232" s="11">
        <v>2</v>
      </c>
      <c r="AC232" s="11">
        <v>2.25</v>
      </c>
      <c r="AD232" s="10">
        <v>1</v>
      </c>
      <c r="AE232" s="10">
        <v>4</v>
      </c>
      <c r="AF232" s="10">
        <v>2</v>
      </c>
      <c r="AG232" s="10">
        <v>3.5</v>
      </c>
      <c r="AH232" s="10">
        <v>3</v>
      </c>
      <c r="AI232" s="10">
        <v>2</v>
      </c>
      <c r="AJ232" s="10">
        <v>2.5833333333333335</v>
      </c>
      <c r="AK232" s="10">
        <v>4</v>
      </c>
      <c r="AL232" s="10">
        <v>5</v>
      </c>
      <c r="AM232" s="10">
        <v>5</v>
      </c>
      <c r="AN232" s="10">
        <v>4.666666666666667</v>
      </c>
      <c r="AO232" s="10">
        <v>3</v>
      </c>
      <c r="AP232" s="10">
        <v>2.75</v>
      </c>
      <c r="AQ232" s="12">
        <v>1</v>
      </c>
      <c r="AR232" s="12">
        <v>1</v>
      </c>
      <c r="AS232" s="12">
        <v>1</v>
      </c>
      <c r="AT232" s="12">
        <v>1</v>
      </c>
      <c r="AU232" s="12">
        <v>1</v>
      </c>
      <c r="AV232" s="12">
        <v>1</v>
      </c>
      <c r="AW232" s="12">
        <v>1</v>
      </c>
      <c r="AX232" s="12">
        <v>1</v>
      </c>
      <c r="AY232" s="12">
        <v>1</v>
      </c>
      <c r="AZ232" s="12">
        <v>1</v>
      </c>
      <c r="BA232" s="12">
        <v>1</v>
      </c>
      <c r="BB232" s="13">
        <v>539.79999999999995</v>
      </c>
      <c r="BC232" s="13">
        <v>778.5</v>
      </c>
      <c r="BD232" s="13">
        <v>238.7</v>
      </c>
      <c r="BE232" s="13">
        <v>0.44</v>
      </c>
      <c r="BF232" s="13" t="s">
        <v>209</v>
      </c>
      <c r="BG232" s="13" t="s">
        <v>326</v>
      </c>
      <c r="BQ232" s="14">
        <v>50</v>
      </c>
      <c r="BR232" s="14">
        <v>50</v>
      </c>
      <c r="BS232" s="14">
        <v>50</v>
      </c>
      <c r="BT232" s="14">
        <v>50</v>
      </c>
      <c r="BW232" s="14">
        <v>50</v>
      </c>
      <c r="BX232" s="9">
        <f t="shared" si="45"/>
        <v>1</v>
      </c>
      <c r="BY232" s="9">
        <f t="shared" si="46"/>
        <v>1</v>
      </c>
      <c r="BZ232" s="9">
        <f t="shared" si="47"/>
        <v>2</v>
      </c>
      <c r="CA232" s="9">
        <f t="shared" si="48"/>
        <v>4</v>
      </c>
      <c r="CB232" s="9">
        <f t="shared" si="49"/>
        <v>3</v>
      </c>
      <c r="CC232" s="9">
        <f t="shared" si="50"/>
        <v>2.75</v>
      </c>
      <c r="CD232" s="9">
        <f t="shared" si="51"/>
        <v>1</v>
      </c>
      <c r="CE232" s="21">
        <f t="shared" si="52"/>
        <v>2.25</v>
      </c>
      <c r="CF232" s="21">
        <f t="shared" si="53"/>
        <v>2.5833333333333335</v>
      </c>
      <c r="CG232" s="21">
        <f t="shared" si="54"/>
        <v>2.25</v>
      </c>
      <c r="CH232" s="21">
        <f t="shared" si="55"/>
        <v>4.666666666666667</v>
      </c>
      <c r="CI232" s="21">
        <f t="shared" si="56"/>
        <v>2.75</v>
      </c>
      <c r="CJ232" s="21">
        <f t="shared" si="57"/>
        <v>2.9</v>
      </c>
    </row>
    <row r="233" spans="1:88">
      <c r="A233" s="9">
        <v>233</v>
      </c>
      <c r="B233" s="9" t="s">
        <v>212</v>
      </c>
      <c r="C233" s="9" t="s">
        <v>213</v>
      </c>
      <c r="D233" s="9" t="s">
        <v>82</v>
      </c>
      <c r="E233" s="9" t="s">
        <v>74</v>
      </c>
      <c r="F233" s="9" t="s">
        <v>78</v>
      </c>
      <c r="H233" s="9" t="s">
        <v>65</v>
      </c>
      <c r="I233" s="9" t="s">
        <v>87</v>
      </c>
      <c r="K233" s="9" t="s">
        <v>92</v>
      </c>
      <c r="P233" s="10">
        <v>5</v>
      </c>
      <c r="Q233" s="10">
        <v>4</v>
      </c>
      <c r="R233" s="10">
        <v>4</v>
      </c>
      <c r="S233" s="10">
        <v>4.5</v>
      </c>
      <c r="T233" s="10">
        <v>4</v>
      </c>
      <c r="U233" s="10">
        <v>3</v>
      </c>
      <c r="V233" s="10">
        <v>4.8333333333333002</v>
      </c>
      <c r="W233" s="11">
        <v>4</v>
      </c>
      <c r="X233" s="11">
        <v>4</v>
      </c>
      <c r="Y233" s="11">
        <v>5</v>
      </c>
      <c r="Z233" s="11">
        <v>4.5</v>
      </c>
      <c r="AA233" s="11">
        <v>4.5</v>
      </c>
      <c r="AB233" s="11">
        <v>5</v>
      </c>
      <c r="AC233" s="11">
        <v>4.5</v>
      </c>
      <c r="AD233" s="10">
        <v>5</v>
      </c>
      <c r="AE233" s="10">
        <v>4</v>
      </c>
      <c r="AF233" s="10">
        <v>5</v>
      </c>
      <c r="AG233" s="10">
        <v>4.5</v>
      </c>
      <c r="AH233" s="10">
        <v>4</v>
      </c>
      <c r="AI233" s="10">
        <v>5</v>
      </c>
      <c r="AJ233" s="10">
        <v>4.583333333333333</v>
      </c>
      <c r="AK233" s="10">
        <v>5</v>
      </c>
      <c r="AL233" s="10">
        <v>5</v>
      </c>
      <c r="AM233" s="10"/>
      <c r="AN233" s="10">
        <v>5</v>
      </c>
      <c r="AO233" s="10">
        <v>5</v>
      </c>
      <c r="AP233" s="10">
        <v>4.5</v>
      </c>
      <c r="AQ233" s="12">
        <v>1</v>
      </c>
      <c r="AR233" s="12">
        <v>2</v>
      </c>
      <c r="AS233" s="12">
        <v>1</v>
      </c>
      <c r="AT233" s="12">
        <v>1</v>
      </c>
      <c r="AU233" s="12">
        <v>2</v>
      </c>
      <c r="AV233" s="12">
        <v>1.4</v>
      </c>
      <c r="AW233" s="12">
        <v>1</v>
      </c>
      <c r="AX233" s="12">
        <v>1</v>
      </c>
      <c r="AY233" s="12">
        <v>2</v>
      </c>
      <c r="AZ233" s="12">
        <v>2</v>
      </c>
      <c r="BA233" s="12">
        <v>1</v>
      </c>
      <c r="BB233" s="13">
        <v>363.6</v>
      </c>
      <c r="BC233" s="13">
        <v>552.9</v>
      </c>
      <c r="BD233" s="13">
        <v>189.3</v>
      </c>
      <c r="BE233" s="13">
        <v>0.52</v>
      </c>
      <c r="BF233" s="13" t="s">
        <v>209</v>
      </c>
      <c r="BG233" s="13" t="s">
        <v>326</v>
      </c>
      <c r="BJ233" s="14" t="s">
        <v>345</v>
      </c>
      <c r="BK233" s="14" t="s">
        <v>346</v>
      </c>
      <c r="BL233" s="14" t="s">
        <v>347</v>
      </c>
      <c r="BM233" s="14" t="s">
        <v>348</v>
      </c>
      <c r="BQ233" s="14">
        <v>50</v>
      </c>
      <c r="BR233" s="14">
        <v>50</v>
      </c>
      <c r="BS233" s="14">
        <v>60</v>
      </c>
      <c r="BT233" s="14">
        <v>75</v>
      </c>
      <c r="BW233" s="14">
        <v>58.75</v>
      </c>
      <c r="BX233" s="9">
        <f t="shared" si="45"/>
        <v>4</v>
      </c>
      <c r="BY233" s="9">
        <f t="shared" si="46"/>
        <v>4</v>
      </c>
      <c r="BZ233" s="9">
        <f t="shared" si="47"/>
        <v>3</v>
      </c>
      <c r="CA233" s="9">
        <f t="shared" si="48"/>
        <v>5</v>
      </c>
      <c r="CB233" s="9">
        <f t="shared" si="49"/>
        <v>5</v>
      </c>
      <c r="CC233" s="9">
        <f t="shared" si="50"/>
        <v>4.5</v>
      </c>
      <c r="CD233" s="9">
        <f t="shared" si="51"/>
        <v>3</v>
      </c>
      <c r="CE233" s="21">
        <f t="shared" si="52"/>
        <v>4.5</v>
      </c>
      <c r="CF233" s="21">
        <f t="shared" si="53"/>
        <v>4.583333333333333</v>
      </c>
      <c r="CG233" s="21">
        <f t="shared" si="54"/>
        <v>4.8333333333333002</v>
      </c>
      <c r="CH233" s="21">
        <f t="shared" si="55"/>
        <v>5</v>
      </c>
      <c r="CI233" s="21">
        <f t="shared" si="56"/>
        <v>4.5</v>
      </c>
      <c r="CJ233" s="21">
        <f t="shared" si="57"/>
        <v>4.6833333333333265</v>
      </c>
    </row>
    <row r="234" spans="1:88">
      <c r="A234" s="9">
        <v>234</v>
      </c>
      <c r="B234" s="9" t="s">
        <v>214</v>
      </c>
      <c r="C234" s="9" t="s">
        <v>215</v>
      </c>
      <c r="D234" s="9" t="s">
        <v>75</v>
      </c>
      <c r="E234" s="9" t="s">
        <v>78</v>
      </c>
      <c r="F234" s="9" t="s">
        <v>78</v>
      </c>
      <c r="H234" s="9" t="s">
        <v>65</v>
      </c>
      <c r="I234" s="9" t="s">
        <v>65</v>
      </c>
      <c r="K234" s="9" t="s">
        <v>322</v>
      </c>
      <c r="P234" s="10">
        <v>3.5</v>
      </c>
      <c r="Q234" s="10">
        <v>3</v>
      </c>
      <c r="R234" s="10">
        <v>3</v>
      </c>
      <c r="S234" s="10">
        <v>3</v>
      </c>
      <c r="T234" s="10">
        <v>3</v>
      </c>
      <c r="U234" s="10">
        <v>3</v>
      </c>
      <c r="V234" s="10">
        <v>3.8333333333333002</v>
      </c>
      <c r="W234" s="11">
        <v>2.5</v>
      </c>
      <c r="X234" s="11">
        <v>1</v>
      </c>
      <c r="Y234" s="11">
        <v>1</v>
      </c>
      <c r="Z234" s="11">
        <v>1</v>
      </c>
      <c r="AA234" s="11">
        <v>1</v>
      </c>
      <c r="AB234" s="11">
        <v>1</v>
      </c>
      <c r="AC234" s="11">
        <v>1.25</v>
      </c>
      <c r="AD234" s="10">
        <v>2</v>
      </c>
      <c r="AE234" s="10">
        <v>1</v>
      </c>
      <c r="AF234" s="10">
        <v>2</v>
      </c>
      <c r="AG234" s="10">
        <v>1.5</v>
      </c>
      <c r="AH234" s="10">
        <v>1.5</v>
      </c>
      <c r="AI234" s="10">
        <v>1</v>
      </c>
      <c r="AJ234" s="10">
        <v>1.5</v>
      </c>
      <c r="AK234" s="10">
        <v>4</v>
      </c>
      <c r="AL234" s="10"/>
      <c r="AM234" s="10"/>
      <c r="AN234" s="10">
        <v>4</v>
      </c>
      <c r="AO234" s="10">
        <v>3</v>
      </c>
      <c r="AP234" s="10">
        <v>2.3333333333333335</v>
      </c>
      <c r="AQ234" s="12">
        <v>1</v>
      </c>
      <c r="AR234" s="12">
        <v>1</v>
      </c>
      <c r="AS234" s="12">
        <v>2</v>
      </c>
      <c r="AT234" s="12">
        <v>2</v>
      </c>
      <c r="AU234" s="12">
        <v>2.5</v>
      </c>
      <c r="AV234" s="12">
        <v>1.7</v>
      </c>
      <c r="AW234" s="12">
        <v>3</v>
      </c>
      <c r="AX234" s="12">
        <v>3</v>
      </c>
      <c r="AY234" s="12">
        <v>3</v>
      </c>
      <c r="AZ234" s="12">
        <v>3</v>
      </c>
      <c r="BA234" s="12">
        <v>1</v>
      </c>
      <c r="BB234" s="13">
        <v>319.10000000000002</v>
      </c>
      <c r="BC234" s="13">
        <v>42.1</v>
      </c>
      <c r="BD234" s="13">
        <v>11</v>
      </c>
      <c r="BE234" s="13">
        <v>0.32</v>
      </c>
      <c r="BF234" s="13" t="s">
        <v>209</v>
      </c>
      <c r="BG234" s="13" t="s">
        <v>326</v>
      </c>
      <c r="BQ234" s="14">
        <v>0</v>
      </c>
      <c r="BR234" s="14">
        <v>50</v>
      </c>
      <c r="BS234" s="14">
        <v>50</v>
      </c>
      <c r="BT234" s="14">
        <v>50</v>
      </c>
      <c r="BW234" s="14">
        <v>37.5</v>
      </c>
      <c r="BX234" s="9">
        <f t="shared" si="45"/>
        <v>1</v>
      </c>
      <c r="BY234" s="9">
        <f t="shared" si="46"/>
        <v>1</v>
      </c>
      <c r="BZ234" s="9">
        <f t="shared" si="47"/>
        <v>3</v>
      </c>
      <c r="CA234" s="9">
        <f t="shared" si="48"/>
        <v>4</v>
      </c>
      <c r="CB234" s="9">
        <f t="shared" si="49"/>
        <v>3</v>
      </c>
      <c r="CC234" s="9">
        <f t="shared" si="50"/>
        <v>2.3333333333333335</v>
      </c>
      <c r="CD234" s="9">
        <f t="shared" si="51"/>
        <v>1</v>
      </c>
      <c r="CE234" s="21">
        <f t="shared" si="52"/>
        <v>1.25</v>
      </c>
      <c r="CF234" s="21">
        <f t="shared" si="53"/>
        <v>1.5</v>
      </c>
      <c r="CG234" s="21">
        <f t="shared" si="54"/>
        <v>3.8333333333333002</v>
      </c>
      <c r="CH234" s="21">
        <f t="shared" si="55"/>
        <v>4</v>
      </c>
      <c r="CI234" s="21">
        <f t="shared" si="56"/>
        <v>2.3333333333333335</v>
      </c>
      <c r="CJ234" s="21">
        <f t="shared" si="57"/>
        <v>2.5833333333333268</v>
      </c>
    </row>
    <row r="235" spans="1:88">
      <c r="A235" s="9">
        <v>235</v>
      </c>
      <c r="B235" s="9" t="s">
        <v>151</v>
      </c>
      <c r="C235" s="9" t="s">
        <v>134</v>
      </c>
      <c r="D235" s="9" t="s">
        <v>96</v>
      </c>
      <c r="E235" s="9" t="s">
        <v>105</v>
      </c>
      <c r="F235" s="9" t="s">
        <v>78</v>
      </c>
      <c r="H235" s="9" t="s">
        <v>65</v>
      </c>
      <c r="I235" s="9" t="s">
        <v>87</v>
      </c>
      <c r="K235" s="9" t="s">
        <v>322</v>
      </c>
      <c r="N235" s="9" t="s">
        <v>70</v>
      </c>
      <c r="O235" s="9" t="s">
        <v>70</v>
      </c>
      <c r="P235" s="10">
        <v>4.5</v>
      </c>
      <c r="Q235" s="10">
        <v>4</v>
      </c>
      <c r="R235" s="10">
        <v>4</v>
      </c>
      <c r="S235" s="10">
        <v>3</v>
      </c>
      <c r="T235" s="10">
        <v>4.5</v>
      </c>
      <c r="U235" s="10">
        <v>3</v>
      </c>
      <c r="V235" s="10">
        <v>3.8333333333333335</v>
      </c>
      <c r="W235" s="11">
        <v>3.5</v>
      </c>
      <c r="X235" s="11">
        <v>4</v>
      </c>
      <c r="Y235" s="11">
        <v>5</v>
      </c>
      <c r="Z235" s="11">
        <v>4.5</v>
      </c>
      <c r="AA235" s="11">
        <v>5</v>
      </c>
      <c r="AB235" s="11">
        <v>5</v>
      </c>
      <c r="AC235" s="11">
        <v>4.5</v>
      </c>
      <c r="AD235" s="10">
        <v>2.5</v>
      </c>
      <c r="AE235" s="10">
        <v>5</v>
      </c>
      <c r="AF235" s="10">
        <v>5</v>
      </c>
      <c r="AG235" s="10">
        <v>5</v>
      </c>
      <c r="AH235" s="10">
        <v>5</v>
      </c>
      <c r="AI235" s="10">
        <v>4</v>
      </c>
      <c r="AJ235" s="10">
        <v>4.416666666666667</v>
      </c>
      <c r="AK235" s="10">
        <v>5</v>
      </c>
      <c r="AL235" s="10">
        <v>4</v>
      </c>
      <c r="AM235" s="10">
        <v>4</v>
      </c>
      <c r="AN235" s="10">
        <v>4.333333333333333</v>
      </c>
      <c r="AO235" s="10">
        <v>5</v>
      </c>
      <c r="AP235" s="10">
        <v>3.6666666666666665</v>
      </c>
      <c r="AQ235" s="12">
        <v>2</v>
      </c>
      <c r="AR235" s="12">
        <v>3</v>
      </c>
      <c r="AS235" s="12">
        <v>3</v>
      </c>
      <c r="AT235" s="12">
        <v>3</v>
      </c>
      <c r="AU235" s="12">
        <v>3</v>
      </c>
      <c r="AV235" s="12">
        <v>2.8</v>
      </c>
      <c r="AW235" s="12">
        <v>3</v>
      </c>
      <c r="AX235" s="12">
        <v>3</v>
      </c>
      <c r="AY235" s="12">
        <v>3</v>
      </c>
      <c r="AZ235" s="12">
        <v>3</v>
      </c>
      <c r="BA235" s="12">
        <v>3</v>
      </c>
      <c r="BB235" s="13">
        <v>397.4</v>
      </c>
      <c r="BC235" s="13">
        <v>51.8</v>
      </c>
      <c r="BD235" s="13">
        <v>14.4</v>
      </c>
      <c r="BE235" s="13">
        <v>0.26</v>
      </c>
      <c r="BF235" s="13" t="s">
        <v>216</v>
      </c>
      <c r="BG235" s="13" t="s">
        <v>324</v>
      </c>
      <c r="BJ235" s="14" t="s">
        <v>345</v>
      </c>
      <c r="BK235" s="14" t="s">
        <v>346</v>
      </c>
      <c r="BL235" s="14" t="s">
        <v>347</v>
      </c>
      <c r="BM235" s="14" t="s">
        <v>348</v>
      </c>
      <c r="BQ235" s="14">
        <v>50</v>
      </c>
      <c r="BR235" s="14">
        <v>60</v>
      </c>
      <c r="BS235" s="14">
        <v>70</v>
      </c>
      <c r="BT235" s="14">
        <v>75</v>
      </c>
      <c r="BU235" s="14">
        <v>80</v>
      </c>
      <c r="BW235" s="14">
        <v>67</v>
      </c>
      <c r="BX235" s="9">
        <f t="shared" si="45"/>
        <v>3.5</v>
      </c>
      <c r="BY235" s="9">
        <f t="shared" si="46"/>
        <v>2.5</v>
      </c>
      <c r="BZ235" s="9">
        <f t="shared" si="47"/>
        <v>3</v>
      </c>
      <c r="CA235" s="9">
        <f t="shared" si="48"/>
        <v>4</v>
      </c>
      <c r="CB235" s="9">
        <f t="shared" si="49"/>
        <v>5</v>
      </c>
      <c r="CC235" s="9">
        <f t="shared" si="50"/>
        <v>3.6666666666666665</v>
      </c>
      <c r="CD235" s="9">
        <f t="shared" si="51"/>
        <v>2.5</v>
      </c>
      <c r="CE235" s="21">
        <f t="shared" si="52"/>
        <v>4.5</v>
      </c>
      <c r="CF235" s="21">
        <f t="shared" si="53"/>
        <v>4.416666666666667</v>
      </c>
      <c r="CG235" s="21">
        <f t="shared" si="54"/>
        <v>3.8333333333333335</v>
      </c>
      <c r="CH235" s="21">
        <f t="shared" si="55"/>
        <v>4.333333333333333</v>
      </c>
      <c r="CI235" s="21">
        <f t="shared" si="56"/>
        <v>3.6666666666666665</v>
      </c>
      <c r="CJ235" s="21">
        <f t="shared" si="57"/>
        <v>4.1500000000000004</v>
      </c>
    </row>
    <row r="236" spans="1:88">
      <c r="A236" s="9">
        <v>236</v>
      </c>
      <c r="B236" s="9" t="s">
        <v>101</v>
      </c>
      <c r="C236" s="9" t="s">
        <v>170</v>
      </c>
      <c r="D236" s="9" t="s">
        <v>111</v>
      </c>
      <c r="E236" s="9" t="s">
        <v>74</v>
      </c>
      <c r="F236" s="9" t="s">
        <v>64</v>
      </c>
      <c r="H236" s="9" t="s">
        <v>65</v>
      </c>
      <c r="I236" s="9" t="s">
        <v>87</v>
      </c>
      <c r="K236" s="9" t="s">
        <v>92</v>
      </c>
      <c r="N236" s="9" t="s">
        <v>70</v>
      </c>
      <c r="P236" s="10">
        <v>4</v>
      </c>
      <c r="Q236" s="10">
        <v>4</v>
      </c>
      <c r="R236" s="10">
        <v>4</v>
      </c>
      <c r="S236" s="10">
        <v>4</v>
      </c>
      <c r="T236" s="10">
        <v>4</v>
      </c>
      <c r="U236" s="10">
        <v>4</v>
      </c>
      <c r="V236" s="10">
        <v>4</v>
      </c>
      <c r="W236" s="11">
        <v>4.5</v>
      </c>
      <c r="X236" s="11">
        <v>4</v>
      </c>
      <c r="Y236" s="11">
        <v>4</v>
      </c>
      <c r="Z236" s="11">
        <v>4</v>
      </c>
      <c r="AA236" s="11">
        <v>5</v>
      </c>
      <c r="AB236" s="11">
        <v>4</v>
      </c>
      <c r="AC236" s="11">
        <v>4.25</v>
      </c>
      <c r="AD236" s="10">
        <v>2.5</v>
      </c>
      <c r="AE236" s="10">
        <v>1</v>
      </c>
      <c r="AF236" s="10">
        <v>2</v>
      </c>
      <c r="AG236" s="10">
        <v>2.5</v>
      </c>
      <c r="AH236" s="10">
        <v>2.5</v>
      </c>
      <c r="AI236" s="10">
        <v>1</v>
      </c>
      <c r="AJ236" s="10">
        <v>1.9166666666666667</v>
      </c>
      <c r="AK236" s="10">
        <v>4</v>
      </c>
      <c r="AL236" s="10">
        <v>3</v>
      </c>
      <c r="AM236" s="10">
        <v>5</v>
      </c>
      <c r="AN236" s="10">
        <v>4</v>
      </c>
      <c r="AO236" s="10">
        <v>3.5</v>
      </c>
      <c r="AP236" s="10">
        <v>4</v>
      </c>
      <c r="AQ236" s="12">
        <v>3</v>
      </c>
      <c r="AR236" s="12">
        <v>3</v>
      </c>
      <c r="AS236" s="12">
        <v>2</v>
      </c>
      <c r="AT236" s="12">
        <v>2</v>
      </c>
      <c r="AU236" s="12">
        <v>2</v>
      </c>
      <c r="AV236" s="12">
        <v>2.4</v>
      </c>
      <c r="AW236" s="12">
        <v>3</v>
      </c>
      <c r="AX236" s="12">
        <v>1</v>
      </c>
      <c r="AY236" s="12">
        <v>2</v>
      </c>
      <c r="AZ236" s="12">
        <v>2</v>
      </c>
      <c r="BA236" s="12">
        <v>1</v>
      </c>
      <c r="BB236" s="13">
        <v>482.7</v>
      </c>
      <c r="BC236" s="13">
        <v>61.3</v>
      </c>
      <c r="BD236" s="13">
        <v>127.6</v>
      </c>
      <c r="BE236" s="13">
        <v>0.26</v>
      </c>
      <c r="BF236" s="13" t="s">
        <v>217</v>
      </c>
      <c r="BG236" s="13" t="s">
        <v>324</v>
      </c>
      <c r="BJ236" s="14" t="s">
        <v>349</v>
      </c>
      <c r="BK236" s="14" t="s">
        <v>350</v>
      </c>
      <c r="BL236" s="14" t="s">
        <v>351</v>
      </c>
      <c r="BM236" s="14" t="s">
        <v>352</v>
      </c>
      <c r="BN236" s="14" t="s">
        <v>342</v>
      </c>
      <c r="BQ236" s="14">
        <v>50</v>
      </c>
      <c r="BR236" s="14">
        <v>50</v>
      </c>
      <c r="BS236" s="14">
        <v>50</v>
      </c>
      <c r="BT236" s="14">
        <v>50</v>
      </c>
      <c r="BU236" s="14">
        <v>60</v>
      </c>
      <c r="BW236" s="14">
        <v>52</v>
      </c>
      <c r="BX236" s="9">
        <f t="shared" si="45"/>
        <v>4</v>
      </c>
      <c r="BY236" s="9">
        <f t="shared" si="46"/>
        <v>1</v>
      </c>
      <c r="BZ236" s="9">
        <f t="shared" si="47"/>
        <v>4</v>
      </c>
      <c r="CA236" s="9">
        <f t="shared" si="48"/>
        <v>3</v>
      </c>
      <c r="CB236" s="9">
        <f t="shared" si="49"/>
        <v>3.5</v>
      </c>
      <c r="CC236" s="9">
        <f t="shared" si="50"/>
        <v>4</v>
      </c>
      <c r="CD236" s="9">
        <f t="shared" si="51"/>
        <v>1</v>
      </c>
      <c r="CE236" s="21">
        <f t="shared" si="52"/>
        <v>4.25</v>
      </c>
      <c r="CF236" s="21">
        <f t="shared" si="53"/>
        <v>1.9166666666666667</v>
      </c>
      <c r="CG236" s="21">
        <f t="shared" si="54"/>
        <v>4</v>
      </c>
      <c r="CH236" s="21">
        <f t="shared" si="55"/>
        <v>4</v>
      </c>
      <c r="CI236" s="21">
        <f t="shared" si="56"/>
        <v>4</v>
      </c>
      <c r="CJ236" s="21">
        <f t="shared" si="57"/>
        <v>3.6333333333333337</v>
      </c>
    </row>
    <row r="237" spans="1:88">
      <c r="A237" s="9">
        <v>237</v>
      </c>
      <c r="B237" s="9" t="s">
        <v>218</v>
      </c>
      <c r="C237" s="9" t="s">
        <v>219</v>
      </c>
      <c r="D237" s="9" t="s">
        <v>96</v>
      </c>
      <c r="E237" s="9" t="s">
        <v>78</v>
      </c>
      <c r="H237" s="9" t="s">
        <v>69</v>
      </c>
      <c r="I237" s="9" t="s">
        <v>83</v>
      </c>
      <c r="K237" s="9" t="s">
        <v>332</v>
      </c>
      <c r="P237" s="10">
        <v>3.5</v>
      </c>
      <c r="Q237" s="10">
        <v>3</v>
      </c>
      <c r="R237" s="10">
        <v>4</v>
      </c>
      <c r="S237" s="10">
        <v>2.5</v>
      </c>
      <c r="T237" s="10">
        <v>3.5</v>
      </c>
      <c r="U237" s="10">
        <v>3</v>
      </c>
      <c r="V237" s="10">
        <v>3.25</v>
      </c>
      <c r="W237" s="11">
        <v>2</v>
      </c>
      <c r="X237" s="11">
        <v>3</v>
      </c>
      <c r="Y237" s="11">
        <v>3</v>
      </c>
      <c r="Z237" s="11">
        <v>1.5</v>
      </c>
      <c r="AA237" s="11">
        <v>2</v>
      </c>
      <c r="AB237" s="11">
        <v>1</v>
      </c>
      <c r="AC237" s="11">
        <v>2.8333333333333002</v>
      </c>
      <c r="AD237" s="10">
        <v>1.5</v>
      </c>
      <c r="AE237" s="10">
        <v>4</v>
      </c>
      <c r="AF237" s="10">
        <v>4</v>
      </c>
      <c r="AG237" s="10">
        <v>4</v>
      </c>
      <c r="AH237" s="10">
        <v>4</v>
      </c>
      <c r="AI237" s="10">
        <v>4</v>
      </c>
      <c r="AJ237" s="10">
        <v>3.5833333333333335</v>
      </c>
      <c r="AK237" s="10">
        <v>2</v>
      </c>
      <c r="AL237" s="10">
        <v>4</v>
      </c>
      <c r="AM237" s="10"/>
      <c r="AN237" s="10">
        <v>3</v>
      </c>
      <c r="AO237" s="10">
        <v>3.5</v>
      </c>
      <c r="AP237" s="10">
        <v>2.3333333333333335</v>
      </c>
      <c r="AQ237" s="12">
        <v>1</v>
      </c>
      <c r="AR237" s="12">
        <v>1</v>
      </c>
      <c r="AS237" s="12">
        <v>1</v>
      </c>
      <c r="AT237" s="12">
        <v>1</v>
      </c>
      <c r="AU237" s="12">
        <v>1</v>
      </c>
      <c r="AV237" s="12">
        <v>1</v>
      </c>
      <c r="AW237" s="12">
        <v>1</v>
      </c>
      <c r="AX237" s="12">
        <v>1</v>
      </c>
      <c r="AY237" s="12">
        <v>1</v>
      </c>
      <c r="AZ237" s="12">
        <v>1</v>
      </c>
      <c r="BA237" s="12">
        <v>1</v>
      </c>
      <c r="BB237" s="13">
        <v>258.2</v>
      </c>
      <c r="BC237" s="13">
        <v>45.9</v>
      </c>
      <c r="BD237" s="13">
        <v>192.7</v>
      </c>
      <c r="BE237" s="13">
        <v>0.75</v>
      </c>
      <c r="BF237" s="13" t="s">
        <v>209</v>
      </c>
      <c r="BG237" s="13" t="s">
        <v>326</v>
      </c>
      <c r="BQ237" s="14">
        <v>55</v>
      </c>
      <c r="BR237" s="14">
        <v>60</v>
      </c>
      <c r="BS237" s="14">
        <v>65</v>
      </c>
      <c r="BT237" s="14">
        <v>85</v>
      </c>
      <c r="BW237" s="14">
        <v>66.25</v>
      </c>
      <c r="BX237" s="9">
        <f t="shared" si="45"/>
        <v>1</v>
      </c>
      <c r="BY237" s="9">
        <f t="shared" si="46"/>
        <v>1.5</v>
      </c>
      <c r="BZ237" s="9">
        <f t="shared" si="47"/>
        <v>2.5</v>
      </c>
      <c r="CA237" s="9">
        <f t="shared" si="48"/>
        <v>2</v>
      </c>
      <c r="CB237" s="9">
        <f t="shared" si="49"/>
        <v>3.5</v>
      </c>
      <c r="CC237" s="9">
        <f t="shared" si="50"/>
        <v>2.3333333333333335</v>
      </c>
      <c r="CD237" s="9">
        <f t="shared" si="51"/>
        <v>1</v>
      </c>
      <c r="CE237" s="21">
        <f t="shared" si="52"/>
        <v>2.8333333333333002</v>
      </c>
      <c r="CF237" s="21">
        <f t="shared" si="53"/>
        <v>3.5833333333333335</v>
      </c>
      <c r="CG237" s="21">
        <f t="shared" si="54"/>
        <v>3.25</v>
      </c>
      <c r="CH237" s="21">
        <f t="shared" si="55"/>
        <v>3</v>
      </c>
      <c r="CI237" s="21">
        <f t="shared" si="56"/>
        <v>2.3333333333333335</v>
      </c>
      <c r="CJ237" s="21">
        <f t="shared" si="57"/>
        <v>2.9999999999999938</v>
      </c>
    </row>
    <row r="238" spans="1:88">
      <c r="A238" s="9">
        <v>238</v>
      </c>
      <c r="B238" s="9" t="s">
        <v>114</v>
      </c>
      <c r="C238" s="9" t="s">
        <v>153</v>
      </c>
      <c r="D238" s="9" t="s">
        <v>72</v>
      </c>
      <c r="H238" s="9" t="s">
        <v>65</v>
      </c>
      <c r="I238" s="9" t="s">
        <v>87</v>
      </c>
      <c r="J238" s="9" t="s">
        <v>69</v>
      </c>
      <c r="K238" s="9" t="s">
        <v>323</v>
      </c>
      <c r="N238" s="9" t="s">
        <v>70</v>
      </c>
      <c r="P238" s="10">
        <v>3</v>
      </c>
      <c r="Q238" s="10">
        <v>3</v>
      </c>
      <c r="R238" s="10">
        <v>3</v>
      </c>
      <c r="S238" s="10">
        <v>3</v>
      </c>
      <c r="T238" s="10">
        <v>3</v>
      </c>
      <c r="U238" s="10">
        <v>2</v>
      </c>
      <c r="V238" s="10">
        <v>2.8333333333333335</v>
      </c>
      <c r="W238" s="11">
        <v>3</v>
      </c>
      <c r="X238" s="11">
        <v>3</v>
      </c>
      <c r="Y238" s="11">
        <v>3</v>
      </c>
      <c r="Z238" s="11">
        <v>3.5</v>
      </c>
      <c r="AA238" s="11">
        <v>4</v>
      </c>
      <c r="AB238" s="11">
        <v>1</v>
      </c>
      <c r="AC238" s="11">
        <v>2.9166666666666665</v>
      </c>
      <c r="AD238" s="10">
        <v>1.5</v>
      </c>
      <c r="AE238" s="10">
        <v>1</v>
      </c>
      <c r="AF238" s="10">
        <v>3</v>
      </c>
      <c r="AG238" s="10">
        <v>3</v>
      </c>
      <c r="AH238" s="10">
        <v>2.5</v>
      </c>
      <c r="AI238" s="10">
        <v>1</v>
      </c>
      <c r="AJ238" s="10">
        <v>2</v>
      </c>
      <c r="AK238" s="10">
        <v>4</v>
      </c>
      <c r="AL238" s="10">
        <v>4</v>
      </c>
      <c r="AM238" s="10">
        <v>4</v>
      </c>
      <c r="AN238" s="10">
        <v>4</v>
      </c>
      <c r="AO238" s="10">
        <v>3</v>
      </c>
      <c r="AP238" s="10">
        <v>3.5</v>
      </c>
      <c r="AQ238" s="12">
        <v>1</v>
      </c>
      <c r="AR238" s="12">
        <v>1</v>
      </c>
      <c r="AS238" s="12">
        <v>1</v>
      </c>
      <c r="AT238" s="12">
        <v>1</v>
      </c>
      <c r="AU238" s="12">
        <v>1</v>
      </c>
      <c r="AV238" s="12">
        <v>1</v>
      </c>
      <c r="AW238" s="12">
        <v>1</v>
      </c>
      <c r="AX238" s="12">
        <v>1</v>
      </c>
      <c r="AY238" s="12">
        <v>1</v>
      </c>
      <c r="AZ238" s="12">
        <v>1</v>
      </c>
      <c r="BA238" s="12">
        <v>1</v>
      </c>
      <c r="BB238" s="13">
        <v>369.6</v>
      </c>
      <c r="BC238" s="13">
        <v>671.8</v>
      </c>
      <c r="BD238" s="13">
        <v>32.200000000000003</v>
      </c>
      <c r="BE238" s="13">
        <v>0.82</v>
      </c>
      <c r="BF238" s="13" t="s">
        <v>220</v>
      </c>
      <c r="BG238" s="13" t="s">
        <v>326</v>
      </c>
      <c r="BJ238" s="14" t="s">
        <v>353</v>
      </c>
      <c r="BK238" s="14" t="s">
        <v>347</v>
      </c>
      <c r="BL238" s="14" t="s">
        <v>354</v>
      </c>
      <c r="BM238" s="14" t="s">
        <v>346</v>
      </c>
      <c r="BN238" s="14" t="s">
        <v>355</v>
      </c>
      <c r="BQ238" s="14">
        <v>0</v>
      </c>
      <c r="BR238" s="14">
        <v>50</v>
      </c>
      <c r="BS238" s="14">
        <v>50</v>
      </c>
      <c r="BT238" s="14">
        <v>50</v>
      </c>
      <c r="BU238" s="14">
        <v>50</v>
      </c>
      <c r="BV238" s="14">
        <v>50</v>
      </c>
      <c r="BW238" s="14">
        <v>41.6666666666667</v>
      </c>
      <c r="BX238" s="9">
        <f t="shared" si="45"/>
        <v>1</v>
      </c>
      <c r="BY238" s="9">
        <f t="shared" si="46"/>
        <v>1</v>
      </c>
      <c r="BZ238" s="9">
        <f t="shared" si="47"/>
        <v>2</v>
      </c>
      <c r="CA238" s="9">
        <f t="shared" si="48"/>
        <v>4</v>
      </c>
      <c r="CB238" s="9">
        <f t="shared" si="49"/>
        <v>3</v>
      </c>
      <c r="CC238" s="9">
        <f t="shared" si="50"/>
        <v>3.5</v>
      </c>
      <c r="CD238" s="9">
        <f t="shared" si="51"/>
        <v>1</v>
      </c>
      <c r="CE238" s="21">
        <f t="shared" si="52"/>
        <v>2.9166666666666665</v>
      </c>
      <c r="CF238" s="21">
        <f t="shared" si="53"/>
        <v>2</v>
      </c>
      <c r="CG238" s="21">
        <f t="shared" si="54"/>
        <v>2.8333333333333335</v>
      </c>
      <c r="CH238" s="21">
        <f t="shared" si="55"/>
        <v>4</v>
      </c>
      <c r="CI238" s="21">
        <f t="shared" si="56"/>
        <v>3.5</v>
      </c>
      <c r="CJ238" s="21">
        <f t="shared" si="57"/>
        <v>3.05</v>
      </c>
    </row>
    <row r="239" spans="1:88">
      <c r="A239" s="9">
        <v>239</v>
      </c>
      <c r="B239" s="9" t="s">
        <v>114</v>
      </c>
      <c r="C239" s="9" t="s">
        <v>153</v>
      </c>
      <c r="D239" s="9" t="s">
        <v>73</v>
      </c>
      <c r="H239" s="9" t="s">
        <v>65</v>
      </c>
      <c r="I239" s="9" t="s">
        <v>87</v>
      </c>
      <c r="J239" s="9" t="s">
        <v>69</v>
      </c>
      <c r="K239" s="9" t="s">
        <v>323</v>
      </c>
      <c r="N239" s="9" t="s">
        <v>70</v>
      </c>
      <c r="P239" s="10">
        <v>4</v>
      </c>
      <c r="Q239" s="10">
        <v>5</v>
      </c>
      <c r="R239" s="10">
        <v>3</v>
      </c>
      <c r="S239" s="10">
        <v>4.5</v>
      </c>
      <c r="T239" s="10">
        <v>5</v>
      </c>
      <c r="U239" s="10">
        <v>4</v>
      </c>
      <c r="V239" s="10">
        <v>4.25</v>
      </c>
      <c r="W239" s="11">
        <v>3.5</v>
      </c>
      <c r="X239" s="11">
        <v>3</v>
      </c>
      <c r="Y239" s="11">
        <v>4</v>
      </c>
      <c r="Z239" s="11">
        <v>4.5</v>
      </c>
      <c r="AA239" s="11">
        <v>4</v>
      </c>
      <c r="AB239" s="11">
        <v>5</v>
      </c>
      <c r="AC239" s="11">
        <v>4</v>
      </c>
      <c r="AD239" s="10">
        <v>3.5</v>
      </c>
      <c r="AE239" s="10">
        <v>5</v>
      </c>
      <c r="AF239" s="10">
        <v>5</v>
      </c>
      <c r="AG239" s="10">
        <v>4.5</v>
      </c>
      <c r="AH239" s="10">
        <v>5</v>
      </c>
      <c r="AI239" s="10">
        <v>5</v>
      </c>
      <c r="AJ239" s="10">
        <v>4.666666666666667</v>
      </c>
      <c r="AK239" s="10">
        <v>3</v>
      </c>
      <c r="AL239" s="10">
        <v>5</v>
      </c>
      <c r="AM239" s="10">
        <v>5</v>
      </c>
      <c r="AN239" s="10">
        <v>4.333333333333333</v>
      </c>
      <c r="AO239" s="10">
        <v>5</v>
      </c>
      <c r="AP239" s="10">
        <v>4.333333333333333</v>
      </c>
      <c r="AQ239" s="12">
        <v>2</v>
      </c>
      <c r="AR239" s="12">
        <v>3</v>
      </c>
      <c r="AS239" s="12">
        <v>3</v>
      </c>
      <c r="AT239" s="12">
        <v>3</v>
      </c>
      <c r="AU239" s="12">
        <v>3</v>
      </c>
      <c r="AV239" s="12">
        <v>2.8</v>
      </c>
      <c r="AW239" s="12">
        <v>3</v>
      </c>
      <c r="AX239" s="12">
        <v>3</v>
      </c>
      <c r="AY239" s="12">
        <v>3</v>
      </c>
      <c r="AZ239" s="12">
        <v>3</v>
      </c>
      <c r="BA239" s="12">
        <v>1</v>
      </c>
      <c r="BB239" s="13">
        <v>45.5</v>
      </c>
      <c r="BC239" s="13">
        <v>62.1</v>
      </c>
      <c r="BD239" s="13">
        <v>196.6</v>
      </c>
      <c r="BE239" s="13">
        <v>0.48</v>
      </c>
      <c r="BF239" s="13" t="s">
        <v>220</v>
      </c>
      <c r="BG239" s="13" t="s">
        <v>326</v>
      </c>
      <c r="BJ239" s="14" t="s">
        <v>342</v>
      </c>
      <c r="BK239" s="14" t="s">
        <v>342</v>
      </c>
      <c r="BL239" s="14" t="s">
        <v>355</v>
      </c>
      <c r="BM239" s="14" t="s">
        <v>356</v>
      </c>
      <c r="BN239" s="14" t="s">
        <v>357</v>
      </c>
      <c r="BO239" s="14" t="s">
        <v>358</v>
      </c>
      <c r="BQ239" s="14">
        <v>50</v>
      </c>
      <c r="BR239" s="14">
        <v>50</v>
      </c>
      <c r="BS239" s="14">
        <v>50</v>
      </c>
      <c r="BT239" s="14">
        <v>50</v>
      </c>
      <c r="BU239" s="14">
        <v>50</v>
      </c>
      <c r="BW239" s="14">
        <v>50</v>
      </c>
      <c r="BX239" s="9">
        <f t="shared" si="45"/>
        <v>3</v>
      </c>
      <c r="BY239" s="9">
        <f t="shared" si="46"/>
        <v>3.5</v>
      </c>
      <c r="BZ239" s="9">
        <f t="shared" si="47"/>
        <v>3</v>
      </c>
      <c r="CA239" s="9">
        <f t="shared" si="48"/>
        <v>3</v>
      </c>
      <c r="CB239" s="9">
        <f t="shared" si="49"/>
        <v>5</v>
      </c>
      <c r="CC239" s="9">
        <f t="shared" si="50"/>
        <v>4.333333333333333</v>
      </c>
      <c r="CD239" s="9">
        <f t="shared" si="51"/>
        <v>3</v>
      </c>
      <c r="CE239" s="21">
        <f t="shared" si="52"/>
        <v>4</v>
      </c>
      <c r="CF239" s="21">
        <f t="shared" si="53"/>
        <v>4.666666666666667</v>
      </c>
      <c r="CG239" s="21">
        <f t="shared" si="54"/>
        <v>4.25</v>
      </c>
      <c r="CH239" s="21">
        <f t="shared" si="55"/>
        <v>4.333333333333333</v>
      </c>
      <c r="CI239" s="21">
        <f t="shared" si="56"/>
        <v>4.333333333333333</v>
      </c>
      <c r="CJ239" s="21">
        <f t="shared" si="57"/>
        <v>4.3166666666666664</v>
      </c>
    </row>
    <row r="240" spans="1:88">
      <c r="A240" s="9">
        <v>240</v>
      </c>
      <c r="B240" s="9" t="s">
        <v>114</v>
      </c>
      <c r="C240" s="9" t="s">
        <v>170</v>
      </c>
      <c r="D240" s="9" t="s">
        <v>75</v>
      </c>
      <c r="E240" s="9" t="s">
        <v>78</v>
      </c>
      <c r="F240" s="9" t="s">
        <v>78</v>
      </c>
      <c r="H240" s="9" t="s">
        <v>69</v>
      </c>
      <c r="I240" s="9" t="s">
        <v>87</v>
      </c>
      <c r="K240" s="9" t="s">
        <v>92</v>
      </c>
      <c r="N240" s="9" t="s">
        <v>70</v>
      </c>
      <c r="P240" s="10">
        <v>4.5</v>
      </c>
      <c r="Q240" s="10">
        <v>4</v>
      </c>
      <c r="R240" s="10">
        <v>5</v>
      </c>
      <c r="S240" s="10">
        <v>4</v>
      </c>
      <c r="T240" s="10">
        <v>5</v>
      </c>
      <c r="U240" s="10">
        <v>4</v>
      </c>
      <c r="V240" s="10">
        <v>4.416666666666667</v>
      </c>
      <c r="W240" s="11">
        <v>5</v>
      </c>
      <c r="X240" s="11">
        <v>5</v>
      </c>
      <c r="Y240" s="11">
        <v>5</v>
      </c>
      <c r="Z240" s="11">
        <v>3.5</v>
      </c>
      <c r="AA240" s="11">
        <v>5</v>
      </c>
      <c r="AB240" s="11">
        <v>5</v>
      </c>
      <c r="AC240" s="11">
        <v>4.75</v>
      </c>
      <c r="AD240" s="10">
        <v>4</v>
      </c>
      <c r="AE240" s="10">
        <v>5</v>
      </c>
      <c r="AF240" s="10">
        <v>4</v>
      </c>
      <c r="AG240" s="10">
        <v>5</v>
      </c>
      <c r="AH240" s="10">
        <v>4.5</v>
      </c>
      <c r="AI240" s="10">
        <v>5</v>
      </c>
      <c r="AJ240" s="10">
        <v>4.583333333333333</v>
      </c>
      <c r="AK240" s="10">
        <v>5</v>
      </c>
      <c r="AL240" s="10">
        <v>5</v>
      </c>
      <c r="AM240" s="10">
        <v>5</v>
      </c>
      <c r="AN240" s="10">
        <v>5</v>
      </c>
      <c r="AO240" s="10">
        <v>4.5</v>
      </c>
      <c r="AP240" s="10">
        <v>4</v>
      </c>
      <c r="AQ240" s="12">
        <v>1</v>
      </c>
      <c r="AR240" s="12">
        <v>3</v>
      </c>
      <c r="AS240" s="12">
        <v>3</v>
      </c>
      <c r="AT240" s="12">
        <v>3</v>
      </c>
      <c r="AU240" s="12">
        <v>3</v>
      </c>
      <c r="AV240" s="12">
        <v>2.6</v>
      </c>
      <c r="AW240" s="12">
        <v>3</v>
      </c>
      <c r="AX240" s="12">
        <v>3</v>
      </c>
      <c r="AY240" s="12">
        <v>3</v>
      </c>
      <c r="AZ240" s="12">
        <v>3</v>
      </c>
      <c r="BA240" s="12">
        <v>3</v>
      </c>
      <c r="BB240" s="13">
        <v>63.5</v>
      </c>
      <c r="BC240" s="13">
        <v>818.4</v>
      </c>
      <c r="BD240" s="13">
        <v>187.9</v>
      </c>
      <c r="BE240" s="13">
        <v>0.3</v>
      </c>
      <c r="BF240" s="13" t="s">
        <v>221</v>
      </c>
      <c r="BG240" s="13" t="s">
        <v>326</v>
      </c>
      <c r="BJ240" s="14" t="s">
        <v>359</v>
      </c>
      <c r="BK240" s="14" t="s">
        <v>360</v>
      </c>
      <c r="BL240" s="14" t="s">
        <v>357</v>
      </c>
      <c r="BM240" s="14" t="s">
        <v>344</v>
      </c>
      <c r="BQ240" s="14">
        <v>50</v>
      </c>
      <c r="BR240" s="14">
        <v>50</v>
      </c>
      <c r="BS240" s="14">
        <v>50</v>
      </c>
      <c r="BT240" s="14">
        <v>55</v>
      </c>
      <c r="BW240" s="14">
        <v>51.25</v>
      </c>
      <c r="BX240" s="9">
        <f t="shared" si="45"/>
        <v>3.5</v>
      </c>
      <c r="BY240" s="9">
        <f t="shared" si="46"/>
        <v>4</v>
      </c>
      <c r="BZ240" s="9">
        <f t="shared" si="47"/>
        <v>4</v>
      </c>
      <c r="CA240" s="9">
        <f t="shared" si="48"/>
        <v>5</v>
      </c>
      <c r="CB240" s="9">
        <f t="shared" si="49"/>
        <v>4.5</v>
      </c>
      <c r="CC240" s="9">
        <f t="shared" si="50"/>
        <v>4</v>
      </c>
      <c r="CD240" s="9">
        <f t="shared" si="51"/>
        <v>3.5</v>
      </c>
      <c r="CE240" s="21">
        <f t="shared" si="52"/>
        <v>4.75</v>
      </c>
      <c r="CF240" s="21">
        <f t="shared" si="53"/>
        <v>4.583333333333333</v>
      </c>
      <c r="CG240" s="21">
        <f t="shared" si="54"/>
        <v>4.416666666666667</v>
      </c>
      <c r="CH240" s="21">
        <f t="shared" si="55"/>
        <v>5</v>
      </c>
      <c r="CI240" s="21">
        <f t="shared" si="56"/>
        <v>4</v>
      </c>
      <c r="CJ240" s="21">
        <f t="shared" si="57"/>
        <v>4.55</v>
      </c>
    </row>
    <row r="241" spans="1:88">
      <c r="A241" s="9">
        <v>241</v>
      </c>
      <c r="B241" s="9" t="s">
        <v>114</v>
      </c>
      <c r="C241" s="9" t="s">
        <v>222</v>
      </c>
      <c r="D241" s="9" t="s">
        <v>75</v>
      </c>
      <c r="E241" s="9" t="s">
        <v>74</v>
      </c>
      <c r="H241" s="9" t="s">
        <v>65</v>
      </c>
      <c r="I241" s="9" t="s">
        <v>65</v>
      </c>
      <c r="K241" s="9" t="s">
        <v>322</v>
      </c>
      <c r="N241" s="9" t="s">
        <v>70</v>
      </c>
      <c r="P241" s="10">
        <v>4</v>
      </c>
      <c r="Q241" s="10">
        <v>4</v>
      </c>
      <c r="R241" s="10">
        <v>3</v>
      </c>
      <c r="S241" s="10">
        <v>3.5</v>
      </c>
      <c r="T241" s="10">
        <v>4</v>
      </c>
      <c r="U241" s="10">
        <v>3</v>
      </c>
      <c r="V241" s="10">
        <v>3.5833333333333335</v>
      </c>
      <c r="W241" s="11">
        <v>4</v>
      </c>
      <c r="X241" s="11">
        <v>3</v>
      </c>
      <c r="Y241" s="11">
        <v>3</v>
      </c>
      <c r="Z241" s="11">
        <v>2</v>
      </c>
      <c r="AA241" s="11">
        <v>3.5</v>
      </c>
      <c r="AB241" s="11">
        <v>3</v>
      </c>
      <c r="AC241" s="11">
        <v>3.8333333333333002</v>
      </c>
      <c r="AD241" s="10">
        <v>3.5</v>
      </c>
      <c r="AE241" s="10">
        <v>5</v>
      </c>
      <c r="AF241" s="10">
        <v>5</v>
      </c>
      <c r="AG241" s="10">
        <v>5</v>
      </c>
      <c r="AH241" s="10">
        <v>4</v>
      </c>
      <c r="AI241" s="10">
        <v>4</v>
      </c>
      <c r="AJ241" s="10">
        <v>4.416666666666667</v>
      </c>
      <c r="AK241" s="10">
        <v>4</v>
      </c>
      <c r="AL241" s="10">
        <v>4</v>
      </c>
      <c r="AM241" s="10">
        <v>4</v>
      </c>
      <c r="AN241" s="10">
        <v>4</v>
      </c>
      <c r="AO241" s="10">
        <v>5</v>
      </c>
      <c r="AP241" s="10">
        <v>4</v>
      </c>
      <c r="AQ241" s="12">
        <v>1</v>
      </c>
      <c r="AR241" s="12">
        <v>1</v>
      </c>
      <c r="AS241" s="12">
        <v>1</v>
      </c>
      <c r="AT241" s="12">
        <v>2</v>
      </c>
      <c r="AU241" s="12">
        <v>1.5</v>
      </c>
      <c r="AV241" s="12">
        <v>1.3</v>
      </c>
      <c r="AW241" s="12">
        <v>2</v>
      </c>
      <c r="AX241" s="12">
        <v>1</v>
      </c>
      <c r="AY241" s="12">
        <v>3</v>
      </c>
      <c r="AZ241" s="12">
        <v>2</v>
      </c>
      <c r="BA241" s="12">
        <v>1</v>
      </c>
      <c r="BB241" s="13">
        <v>275.5</v>
      </c>
      <c r="BC241" s="13">
        <v>432.6</v>
      </c>
      <c r="BD241" s="13">
        <v>157.1</v>
      </c>
      <c r="BE241" s="13">
        <v>0.56999999999999995</v>
      </c>
      <c r="BF241" s="13" t="s">
        <v>221</v>
      </c>
      <c r="BG241" s="13" t="s">
        <v>326</v>
      </c>
      <c r="BQ241" s="14">
        <v>0</v>
      </c>
      <c r="BR241" s="14">
        <v>0</v>
      </c>
      <c r="BS241" s="14">
        <v>0</v>
      </c>
      <c r="BT241" s="14">
        <v>0</v>
      </c>
      <c r="BU241" s="14">
        <v>0</v>
      </c>
      <c r="BV241" s="14">
        <v>0</v>
      </c>
      <c r="BW241" s="14">
        <v>0</v>
      </c>
      <c r="BX241" s="9">
        <f t="shared" si="45"/>
        <v>2</v>
      </c>
      <c r="BY241" s="9">
        <f t="shared" si="46"/>
        <v>3.5</v>
      </c>
      <c r="BZ241" s="9">
        <f t="shared" si="47"/>
        <v>3</v>
      </c>
      <c r="CA241" s="9">
        <f t="shared" si="48"/>
        <v>4</v>
      </c>
      <c r="CB241" s="9">
        <f t="shared" si="49"/>
        <v>5</v>
      </c>
      <c r="CC241" s="9">
        <f t="shared" si="50"/>
        <v>4</v>
      </c>
      <c r="CD241" s="9">
        <f t="shared" si="51"/>
        <v>2</v>
      </c>
      <c r="CE241" s="21">
        <f t="shared" si="52"/>
        <v>3.8333333333333002</v>
      </c>
      <c r="CF241" s="21">
        <f t="shared" si="53"/>
        <v>4.416666666666667</v>
      </c>
      <c r="CG241" s="21">
        <f t="shared" si="54"/>
        <v>3.5833333333333335</v>
      </c>
      <c r="CH241" s="21">
        <f t="shared" si="55"/>
        <v>4</v>
      </c>
      <c r="CI241" s="21">
        <f t="shared" si="56"/>
        <v>4</v>
      </c>
      <c r="CJ241" s="21">
        <f t="shared" si="57"/>
        <v>3.9666666666666601</v>
      </c>
    </row>
    <row r="242" spans="1:88">
      <c r="A242" s="9">
        <v>242</v>
      </c>
      <c r="B242" s="9" t="s">
        <v>90</v>
      </c>
      <c r="C242" s="9" t="s">
        <v>110</v>
      </c>
      <c r="D242" s="9" t="s">
        <v>75</v>
      </c>
      <c r="E242" s="9" t="s">
        <v>74</v>
      </c>
      <c r="F242" s="9" t="s">
        <v>64</v>
      </c>
      <c r="H242" s="9" t="s">
        <v>69</v>
      </c>
      <c r="I242" s="9" t="s">
        <v>83</v>
      </c>
      <c r="K242" s="9" t="s">
        <v>92</v>
      </c>
      <c r="N242" s="9" t="s">
        <v>70</v>
      </c>
      <c r="P242" s="10">
        <v>4.5</v>
      </c>
      <c r="Q242" s="10">
        <v>5</v>
      </c>
      <c r="R242" s="10">
        <v>4</v>
      </c>
      <c r="S242" s="10">
        <v>4.5</v>
      </c>
      <c r="T242" s="10">
        <v>3.5</v>
      </c>
      <c r="U242" s="10">
        <v>3</v>
      </c>
      <c r="V242" s="10">
        <v>4.8333333333333002</v>
      </c>
      <c r="W242" s="11">
        <v>1</v>
      </c>
      <c r="X242" s="11">
        <v>1</v>
      </c>
      <c r="Y242" s="11">
        <v>1</v>
      </c>
      <c r="Z242" s="11">
        <v>1.5</v>
      </c>
      <c r="AA242" s="11">
        <v>1</v>
      </c>
      <c r="AB242" s="11">
        <v>1</v>
      </c>
      <c r="AC242" s="11">
        <v>1.8333333333333</v>
      </c>
      <c r="AD242" s="10">
        <v>2</v>
      </c>
      <c r="AE242" s="10">
        <v>3</v>
      </c>
      <c r="AF242" s="10">
        <v>3</v>
      </c>
      <c r="AG242" s="10">
        <v>3</v>
      </c>
      <c r="AH242" s="10">
        <v>2.5</v>
      </c>
      <c r="AI242" s="10">
        <v>3</v>
      </c>
      <c r="AJ242" s="10">
        <v>2.75</v>
      </c>
      <c r="AK242" s="10">
        <v>5</v>
      </c>
      <c r="AL242" s="10">
        <v>5</v>
      </c>
      <c r="AM242" s="10">
        <v>5</v>
      </c>
      <c r="AN242" s="10">
        <v>5</v>
      </c>
      <c r="AO242" s="10">
        <v>3</v>
      </c>
      <c r="AP242" s="10">
        <v>2.5</v>
      </c>
      <c r="AQ242" s="12">
        <v>1</v>
      </c>
      <c r="AR242" s="12">
        <v>1</v>
      </c>
      <c r="AS242" s="12">
        <v>1</v>
      </c>
      <c r="AT242" s="12">
        <v>1</v>
      </c>
      <c r="AU242" s="12">
        <v>1</v>
      </c>
      <c r="AV242" s="12">
        <v>1</v>
      </c>
      <c r="AW242" s="12">
        <v>1</v>
      </c>
      <c r="AX242" s="12">
        <v>1</v>
      </c>
      <c r="AY242" s="12">
        <v>1</v>
      </c>
      <c r="AZ242" s="12">
        <v>1</v>
      </c>
      <c r="BA242" s="12">
        <v>1</v>
      </c>
      <c r="BB242" s="13">
        <v>598.4</v>
      </c>
      <c r="BC242" s="13">
        <v>857.4</v>
      </c>
      <c r="BD242" s="13">
        <v>259</v>
      </c>
      <c r="BE242" s="13">
        <v>0.43</v>
      </c>
      <c r="BF242" s="13" t="s">
        <v>223</v>
      </c>
      <c r="BG242" s="13" t="s">
        <v>326</v>
      </c>
      <c r="BQ242" s="14">
        <v>50</v>
      </c>
      <c r="BR242" s="14">
        <v>50</v>
      </c>
      <c r="BS242" s="14">
        <v>55</v>
      </c>
      <c r="BT242" s="14">
        <v>55</v>
      </c>
      <c r="BW242" s="14">
        <v>52.5</v>
      </c>
      <c r="BX242" s="9">
        <f t="shared" si="45"/>
        <v>1</v>
      </c>
      <c r="BY242" s="9">
        <f t="shared" si="46"/>
        <v>2</v>
      </c>
      <c r="BZ242" s="9">
        <f t="shared" si="47"/>
        <v>3</v>
      </c>
      <c r="CA242" s="9">
        <f t="shared" si="48"/>
        <v>5</v>
      </c>
      <c r="CB242" s="9">
        <f t="shared" si="49"/>
        <v>3</v>
      </c>
      <c r="CC242" s="9">
        <f t="shared" si="50"/>
        <v>2.5</v>
      </c>
      <c r="CD242" s="9">
        <f t="shared" si="51"/>
        <v>1</v>
      </c>
      <c r="CE242" s="21">
        <f t="shared" si="52"/>
        <v>1.8333333333333</v>
      </c>
      <c r="CF242" s="21">
        <f t="shared" si="53"/>
        <v>2.75</v>
      </c>
      <c r="CG242" s="21">
        <f t="shared" si="54"/>
        <v>4.8333333333333002</v>
      </c>
      <c r="CH242" s="21">
        <f t="shared" si="55"/>
        <v>5</v>
      </c>
      <c r="CI242" s="21">
        <f t="shared" si="56"/>
        <v>2.5</v>
      </c>
      <c r="CJ242" s="21">
        <f t="shared" si="57"/>
        <v>3.38333333333332</v>
      </c>
    </row>
    <row r="243" spans="1:88">
      <c r="A243" s="9">
        <v>243</v>
      </c>
      <c r="B243" s="9" t="s">
        <v>218</v>
      </c>
      <c r="C243" s="9" t="s">
        <v>224</v>
      </c>
      <c r="D243" s="9" t="s">
        <v>73</v>
      </c>
      <c r="E243" s="9" t="s">
        <v>78</v>
      </c>
      <c r="F243" s="9" t="s">
        <v>64</v>
      </c>
      <c r="H243" s="9" t="s">
        <v>69</v>
      </c>
      <c r="I243" s="9" t="s">
        <v>65</v>
      </c>
      <c r="K243" s="9" t="s">
        <v>92</v>
      </c>
      <c r="N243" s="9" t="s">
        <v>70</v>
      </c>
      <c r="P243" s="10">
        <v>3</v>
      </c>
      <c r="Q243" s="10">
        <v>2</v>
      </c>
      <c r="R243" s="10">
        <v>2</v>
      </c>
      <c r="S243" s="10">
        <v>3.5</v>
      </c>
      <c r="T243" s="10">
        <v>2.5</v>
      </c>
      <c r="U243" s="10">
        <v>2</v>
      </c>
      <c r="V243" s="10">
        <v>2.5</v>
      </c>
      <c r="W243" s="11">
        <v>1</v>
      </c>
      <c r="X243" s="11">
        <v>1</v>
      </c>
      <c r="Y243" s="11">
        <v>1</v>
      </c>
      <c r="Z243" s="11">
        <v>1</v>
      </c>
      <c r="AA243" s="11">
        <v>1</v>
      </c>
      <c r="AB243" s="11">
        <v>1</v>
      </c>
      <c r="AC243" s="11">
        <v>1</v>
      </c>
      <c r="AD243" s="10">
        <v>3</v>
      </c>
      <c r="AE243" s="10">
        <v>3</v>
      </c>
      <c r="AF243" s="10">
        <v>3</v>
      </c>
      <c r="AG243" s="10">
        <v>3</v>
      </c>
      <c r="AH243" s="10">
        <v>3</v>
      </c>
      <c r="AI243" s="10">
        <v>3</v>
      </c>
      <c r="AJ243" s="10">
        <v>3</v>
      </c>
      <c r="AK243" s="10">
        <v>5</v>
      </c>
      <c r="AL243" s="10">
        <v>5</v>
      </c>
      <c r="AM243" s="10">
        <v>5</v>
      </c>
      <c r="AN243" s="10">
        <v>5</v>
      </c>
      <c r="AO243" s="10">
        <v>3</v>
      </c>
      <c r="AP243" s="10">
        <v>4</v>
      </c>
      <c r="AQ243" s="12">
        <v>3</v>
      </c>
      <c r="AR243" s="12">
        <v>2</v>
      </c>
      <c r="AS243" s="12">
        <v>1</v>
      </c>
      <c r="AT243" s="12">
        <v>3</v>
      </c>
      <c r="AU243" s="12">
        <v>1.5</v>
      </c>
      <c r="AV243" s="12">
        <v>2.1</v>
      </c>
      <c r="AW243" s="12">
        <v>2</v>
      </c>
      <c r="AX243" s="12">
        <v>1</v>
      </c>
      <c r="AY243" s="12">
        <v>1</v>
      </c>
      <c r="AZ243" s="12">
        <v>2</v>
      </c>
      <c r="BA243" s="12">
        <v>1</v>
      </c>
      <c r="BB243" s="13">
        <v>674.5</v>
      </c>
      <c r="BC243" s="13">
        <v>785.9</v>
      </c>
      <c r="BD243" s="13">
        <v>111.4</v>
      </c>
      <c r="BE243" s="13">
        <v>0.17</v>
      </c>
      <c r="BF243" s="13" t="s">
        <v>225</v>
      </c>
      <c r="BG243" s="13" t="s">
        <v>324</v>
      </c>
      <c r="BX243" s="9">
        <f t="shared" si="45"/>
        <v>1</v>
      </c>
      <c r="BY243" s="9">
        <f t="shared" si="46"/>
        <v>3</v>
      </c>
      <c r="BZ243" s="9">
        <f t="shared" si="47"/>
        <v>2</v>
      </c>
      <c r="CA243" s="9">
        <f t="shared" si="48"/>
        <v>5</v>
      </c>
      <c r="CB243" s="9">
        <f t="shared" si="49"/>
        <v>3</v>
      </c>
      <c r="CC243" s="9">
        <f t="shared" si="50"/>
        <v>4</v>
      </c>
      <c r="CD243" s="9">
        <f t="shared" si="51"/>
        <v>1</v>
      </c>
      <c r="CE243" s="21">
        <f t="shared" si="52"/>
        <v>1</v>
      </c>
      <c r="CF243" s="21">
        <f t="shared" si="53"/>
        <v>3</v>
      </c>
      <c r="CG243" s="21">
        <f t="shared" si="54"/>
        <v>2.5</v>
      </c>
      <c r="CH243" s="21">
        <f t="shared" si="55"/>
        <v>5</v>
      </c>
      <c r="CI243" s="21">
        <f t="shared" si="56"/>
        <v>4</v>
      </c>
      <c r="CJ243" s="21">
        <f t="shared" si="57"/>
        <v>3.1</v>
      </c>
    </row>
    <row r="244" spans="1:88">
      <c r="A244" s="9">
        <v>244</v>
      </c>
      <c r="B244" s="9" t="s">
        <v>114</v>
      </c>
      <c r="C244" s="9" t="s">
        <v>85</v>
      </c>
      <c r="D244" s="9" t="s">
        <v>75</v>
      </c>
      <c r="E244" s="9" t="s">
        <v>63</v>
      </c>
      <c r="F244" s="9" t="s">
        <v>78</v>
      </c>
      <c r="H244" s="9" t="s">
        <v>65</v>
      </c>
      <c r="I244" s="9" t="s">
        <v>87</v>
      </c>
      <c r="J244" s="9" t="s">
        <v>65</v>
      </c>
      <c r="K244" s="9" t="s">
        <v>323</v>
      </c>
      <c r="N244" s="9" t="s">
        <v>70</v>
      </c>
      <c r="P244" s="10">
        <v>3.5</v>
      </c>
      <c r="Q244" s="10">
        <v>3</v>
      </c>
      <c r="R244" s="10">
        <v>3</v>
      </c>
      <c r="S244" s="10">
        <v>3.5</v>
      </c>
      <c r="T244" s="10">
        <v>4</v>
      </c>
      <c r="U244" s="10">
        <v>3</v>
      </c>
      <c r="V244" s="10">
        <v>3.3333333333333335</v>
      </c>
      <c r="W244" s="11">
        <v>2.5</v>
      </c>
      <c r="X244" s="11">
        <v>3</v>
      </c>
      <c r="Y244" s="11">
        <v>3</v>
      </c>
      <c r="Z244" s="11">
        <v>3</v>
      </c>
      <c r="AA244" s="11">
        <v>3.5</v>
      </c>
      <c r="AB244" s="11">
        <v>3</v>
      </c>
      <c r="AC244" s="11">
        <v>3</v>
      </c>
      <c r="AD244" s="10">
        <v>2.5</v>
      </c>
      <c r="AE244" s="10">
        <v>4</v>
      </c>
      <c r="AF244" s="10">
        <v>4</v>
      </c>
      <c r="AG244" s="10">
        <v>4</v>
      </c>
      <c r="AH244" s="10">
        <v>3.5</v>
      </c>
      <c r="AI244" s="10">
        <v>4</v>
      </c>
      <c r="AJ244" s="10">
        <v>3.6666666666666665</v>
      </c>
      <c r="AK244" s="10">
        <v>3</v>
      </c>
      <c r="AL244" s="10">
        <v>4</v>
      </c>
      <c r="AM244" s="10">
        <v>4</v>
      </c>
      <c r="AN244" s="10">
        <v>3.6666666666666665</v>
      </c>
      <c r="AO244" s="10">
        <v>3</v>
      </c>
      <c r="AP244" s="10">
        <v>4</v>
      </c>
      <c r="AQ244" s="12">
        <v>3</v>
      </c>
      <c r="AR244" s="12">
        <v>3</v>
      </c>
      <c r="AS244" s="12">
        <v>2</v>
      </c>
      <c r="AT244" s="12">
        <v>2</v>
      </c>
      <c r="AU244" s="12">
        <v>2.5</v>
      </c>
      <c r="AV244" s="12">
        <v>2.5</v>
      </c>
      <c r="AW244" s="12">
        <v>1</v>
      </c>
      <c r="AX244" s="12">
        <v>3</v>
      </c>
      <c r="AY244" s="12">
        <v>2</v>
      </c>
      <c r="AZ244" s="12">
        <v>2</v>
      </c>
      <c r="BA244" s="12">
        <v>2</v>
      </c>
      <c r="BB244" s="13">
        <v>534.6</v>
      </c>
      <c r="BC244" s="13">
        <v>691.5</v>
      </c>
      <c r="BD244" s="13">
        <v>156.9</v>
      </c>
      <c r="BE244" s="13">
        <v>0.28999999999999998</v>
      </c>
      <c r="BF244" s="13" t="s">
        <v>209</v>
      </c>
      <c r="BG244" s="13" t="s">
        <v>326</v>
      </c>
      <c r="BJ244" s="14" t="s">
        <v>361</v>
      </c>
      <c r="BK244" s="14" t="s">
        <v>361</v>
      </c>
      <c r="BL244" s="14" t="s">
        <v>342</v>
      </c>
      <c r="BM244" s="14" t="s">
        <v>342</v>
      </c>
      <c r="BN244" s="14" t="s">
        <v>342</v>
      </c>
      <c r="BO244" s="14" t="s">
        <v>342</v>
      </c>
      <c r="BP244" s="14">
        <v>28</v>
      </c>
      <c r="BQ244" s="14">
        <v>50</v>
      </c>
      <c r="BR244" s="14">
        <v>50</v>
      </c>
      <c r="BS244" s="14">
        <v>55</v>
      </c>
      <c r="BT244" s="14">
        <v>60</v>
      </c>
      <c r="BW244" s="14">
        <v>53.75</v>
      </c>
      <c r="BX244" s="9">
        <f t="shared" si="45"/>
        <v>2.5</v>
      </c>
      <c r="BY244" s="9">
        <f t="shared" si="46"/>
        <v>2.5</v>
      </c>
      <c r="BZ244" s="9">
        <f t="shared" si="47"/>
        <v>3</v>
      </c>
      <c r="CA244" s="9">
        <f t="shared" si="48"/>
        <v>3</v>
      </c>
      <c r="CB244" s="9">
        <f t="shared" si="49"/>
        <v>3</v>
      </c>
      <c r="CC244" s="9">
        <f t="shared" si="50"/>
        <v>4</v>
      </c>
      <c r="CD244" s="9">
        <f t="shared" si="51"/>
        <v>2.5</v>
      </c>
      <c r="CE244" s="21">
        <f t="shared" si="52"/>
        <v>3</v>
      </c>
      <c r="CF244" s="21">
        <f t="shared" si="53"/>
        <v>3.6666666666666665</v>
      </c>
      <c r="CG244" s="21">
        <f t="shared" si="54"/>
        <v>3.3333333333333335</v>
      </c>
      <c r="CH244" s="21">
        <f t="shared" si="55"/>
        <v>3.6666666666666665</v>
      </c>
      <c r="CI244" s="21">
        <f t="shared" si="56"/>
        <v>4</v>
      </c>
      <c r="CJ244" s="21">
        <f t="shared" si="57"/>
        <v>3.5333333333333328</v>
      </c>
    </row>
    <row r="245" spans="1:88">
      <c r="A245" s="9">
        <v>245</v>
      </c>
      <c r="B245" s="9" t="s">
        <v>114</v>
      </c>
      <c r="C245" s="9" t="s">
        <v>226</v>
      </c>
      <c r="D245" s="9" t="s">
        <v>96</v>
      </c>
      <c r="E245" s="9" t="s">
        <v>74</v>
      </c>
      <c r="G245" s="9">
        <v>2017</v>
      </c>
      <c r="H245" s="9" t="s">
        <v>65</v>
      </c>
      <c r="I245" s="9" t="s">
        <v>83</v>
      </c>
      <c r="K245" s="9" t="s">
        <v>322</v>
      </c>
      <c r="N245" s="9" t="s">
        <v>70</v>
      </c>
      <c r="P245" s="10">
        <v>3.5</v>
      </c>
      <c r="Q245" s="10">
        <v>4</v>
      </c>
      <c r="R245" s="10">
        <v>4</v>
      </c>
      <c r="S245" s="10">
        <v>4.5</v>
      </c>
      <c r="T245" s="10">
        <v>4.5</v>
      </c>
      <c r="U245" s="10">
        <v>3</v>
      </c>
      <c r="V245" s="10">
        <v>3.9166666666666665</v>
      </c>
      <c r="W245" s="11">
        <v>2.5</v>
      </c>
      <c r="X245" s="11">
        <v>5</v>
      </c>
      <c r="Y245" s="11">
        <v>5</v>
      </c>
      <c r="Z245" s="11">
        <v>5</v>
      </c>
      <c r="AA245" s="11">
        <v>4.5</v>
      </c>
      <c r="AB245" s="11">
        <v>4</v>
      </c>
      <c r="AC245" s="11">
        <v>4.333333333333333</v>
      </c>
      <c r="AD245" s="10">
        <v>3</v>
      </c>
      <c r="AE245" s="10">
        <v>3</v>
      </c>
      <c r="AF245" s="10">
        <v>5</v>
      </c>
      <c r="AG245" s="10">
        <v>4.5</v>
      </c>
      <c r="AH245" s="10">
        <v>3</v>
      </c>
      <c r="AI245" s="10">
        <v>3</v>
      </c>
      <c r="AJ245" s="10">
        <v>3.5833333333333335</v>
      </c>
      <c r="AK245" s="10">
        <v>4</v>
      </c>
      <c r="AL245" s="10">
        <v>4</v>
      </c>
      <c r="AM245" s="10">
        <v>5</v>
      </c>
      <c r="AN245" s="10">
        <v>4.333333333333333</v>
      </c>
      <c r="AO245" s="10">
        <v>5</v>
      </c>
      <c r="AP245" s="10">
        <v>4</v>
      </c>
      <c r="AQ245" s="12">
        <v>2</v>
      </c>
      <c r="AR245" s="12">
        <v>3</v>
      </c>
      <c r="AS245" s="12">
        <v>2</v>
      </c>
      <c r="AT245" s="12">
        <v>2</v>
      </c>
      <c r="AU245" s="12">
        <v>2</v>
      </c>
      <c r="AV245" s="12">
        <v>2.2000000000000002</v>
      </c>
      <c r="AW245" s="12">
        <v>3</v>
      </c>
      <c r="AX245" s="12">
        <v>1</v>
      </c>
      <c r="AY245" s="12">
        <v>3</v>
      </c>
      <c r="AZ245" s="12">
        <v>3</v>
      </c>
      <c r="BA245" s="12">
        <v>3</v>
      </c>
      <c r="BB245" s="13">
        <v>398</v>
      </c>
      <c r="BC245" s="13">
        <v>598.29999999999995</v>
      </c>
      <c r="BD245" s="13">
        <v>2</v>
      </c>
      <c r="BE245" s="13">
        <v>0.5</v>
      </c>
      <c r="BF245" s="13" t="s">
        <v>209</v>
      </c>
      <c r="BG245" s="13" t="s">
        <v>326</v>
      </c>
      <c r="BQ245" s="14">
        <v>55</v>
      </c>
      <c r="BR245" s="14">
        <v>55</v>
      </c>
      <c r="BS245" s="14">
        <v>60</v>
      </c>
      <c r="BT245" s="14">
        <v>65</v>
      </c>
      <c r="BW245" s="14">
        <v>58.75</v>
      </c>
      <c r="BX245" s="9">
        <f t="shared" si="45"/>
        <v>2.5</v>
      </c>
      <c r="BY245" s="9">
        <f t="shared" si="46"/>
        <v>3</v>
      </c>
      <c r="BZ245" s="9">
        <f t="shared" si="47"/>
        <v>3</v>
      </c>
      <c r="CA245" s="9">
        <f t="shared" si="48"/>
        <v>4</v>
      </c>
      <c r="CB245" s="9">
        <f t="shared" si="49"/>
        <v>5</v>
      </c>
      <c r="CC245" s="9">
        <f t="shared" si="50"/>
        <v>4</v>
      </c>
      <c r="CD245" s="9">
        <f t="shared" si="51"/>
        <v>2.5</v>
      </c>
      <c r="CE245" s="21">
        <f t="shared" si="52"/>
        <v>4.333333333333333</v>
      </c>
      <c r="CF245" s="21">
        <f t="shared" si="53"/>
        <v>3.5833333333333335</v>
      </c>
      <c r="CG245" s="21">
        <f t="shared" si="54"/>
        <v>3.9166666666666665</v>
      </c>
      <c r="CH245" s="21">
        <f t="shared" si="55"/>
        <v>4.333333333333333</v>
      </c>
      <c r="CI245" s="21">
        <f t="shared" si="56"/>
        <v>4</v>
      </c>
      <c r="CJ245" s="21">
        <f t="shared" si="57"/>
        <v>4.0333333333333332</v>
      </c>
    </row>
    <row r="246" spans="1:88">
      <c r="A246" s="9">
        <v>246</v>
      </c>
      <c r="B246" s="9" t="s">
        <v>138</v>
      </c>
      <c r="C246" s="9" t="s">
        <v>85</v>
      </c>
      <c r="D246" s="9" t="s">
        <v>72</v>
      </c>
      <c r="E246" s="9" t="s">
        <v>78</v>
      </c>
      <c r="F246" s="9" t="s">
        <v>78</v>
      </c>
      <c r="H246" s="9" t="s">
        <v>65</v>
      </c>
      <c r="I246" s="9" t="s">
        <v>87</v>
      </c>
      <c r="J246" s="9" t="s">
        <v>65</v>
      </c>
      <c r="K246" s="9" t="s">
        <v>323</v>
      </c>
      <c r="N246" s="9" t="s">
        <v>70</v>
      </c>
      <c r="O246" s="9" t="s">
        <v>70</v>
      </c>
      <c r="P246" s="10">
        <v>5</v>
      </c>
      <c r="Q246" s="10">
        <v>5</v>
      </c>
      <c r="R246" s="10">
        <v>5</v>
      </c>
      <c r="S246" s="10">
        <v>5</v>
      </c>
      <c r="T246" s="10">
        <v>5</v>
      </c>
      <c r="U246" s="10">
        <v>4</v>
      </c>
      <c r="V246" s="10">
        <v>4.833333333333333</v>
      </c>
      <c r="W246" s="11">
        <v>4</v>
      </c>
      <c r="X246" s="11">
        <v>4</v>
      </c>
      <c r="Y246" s="11">
        <v>5</v>
      </c>
      <c r="Z246" s="11">
        <v>4</v>
      </c>
      <c r="AA246" s="11">
        <v>5</v>
      </c>
      <c r="AB246" s="11">
        <v>5</v>
      </c>
      <c r="AC246" s="11">
        <v>4.5</v>
      </c>
      <c r="AD246" s="10">
        <v>1.5</v>
      </c>
      <c r="AE246" s="10">
        <v>5</v>
      </c>
      <c r="AF246" s="10">
        <v>4</v>
      </c>
      <c r="AG246" s="10">
        <v>5</v>
      </c>
      <c r="AH246" s="10">
        <v>3</v>
      </c>
      <c r="AI246" s="10">
        <v>5</v>
      </c>
      <c r="AJ246" s="10">
        <v>3.9166666666666665</v>
      </c>
      <c r="AK246" s="10">
        <v>4</v>
      </c>
      <c r="AL246" s="10">
        <v>4</v>
      </c>
      <c r="AM246" s="10">
        <v>4</v>
      </c>
      <c r="AN246" s="10">
        <v>4</v>
      </c>
      <c r="AO246" s="10">
        <v>3</v>
      </c>
      <c r="AP246" s="10">
        <v>2.75</v>
      </c>
      <c r="AQ246" s="12">
        <v>3</v>
      </c>
      <c r="AR246" s="12">
        <v>2</v>
      </c>
      <c r="AS246" s="12">
        <v>2</v>
      </c>
      <c r="AT246" s="12">
        <v>2</v>
      </c>
      <c r="AU246" s="12">
        <v>2.5</v>
      </c>
      <c r="AV246" s="12">
        <v>2.2999999999999998</v>
      </c>
      <c r="AW246" s="12">
        <v>2</v>
      </c>
      <c r="AX246" s="12">
        <v>3</v>
      </c>
      <c r="AY246" s="12">
        <v>2</v>
      </c>
      <c r="AZ246" s="12">
        <v>2</v>
      </c>
      <c r="BA246" s="12">
        <v>2</v>
      </c>
      <c r="BB246" s="13">
        <v>466.4</v>
      </c>
      <c r="BC246" s="13">
        <v>578.29999999999995</v>
      </c>
      <c r="BD246" s="13">
        <v>111.9</v>
      </c>
      <c r="BE246" s="13">
        <v>0.24</v>
      </c>
      <c r="BF246" s="13" t="s">
        <v>209</v>
      </c>
      <c r="BG246" s="13" t="s">
        <v>326</v>
      </c>
      <c r="BJ246" s="14" t="s">
        <v>362</v>
      </c>
      <c r="BK246" s="14" t="s">
        <v>342</v>
      </c>
      <c r="BL246" s="14" t="s">
        <v>342</v>
      </c>
      <c r="BM246" s="14" t="s">
        <v>342</v>
      </c>
      <c r="BQ246" s="14">
        <v>70</v>
      </c>
      <c r="BR246" s="14">
        <v>75</v>
      </c>
      <c r="BS246" s="14">
        <v>85</v>
      </c>
      <c r="BT246" s="14">
        <v>90</v>
      </c>
      <c r="BW246" s="14">
        <v>80</v>
      </c>
      <c r="BX246" s="9">
        <f t="shared" si="45"/>
        <v>4</v>
      </c>
      <c r="BY246" s="9">
        <f t="shared" si="46"/>
        <v>1.5</v>
      </c>
      <c r="BZ246" s="9">
        <f t="shared" si="47"/>
        <v>4</v>
      </c>
      <c r="CA246" s="9">
        <f t="shared" si="48"/>
        <v>4</v>
      </c>
      <c r="CB246" s="9">
        <f t="shared" si="49"/>
        <v>3</v>
      </c>
      <c r="CC246" s="9">
        <f t="shared" si="50"/>
        <v>2.75</v>
      </c>
      <c r="CD246" s="9">
        <f t="shared" si="51"/>
        <v>1.5</v>
      </c>
      <c r="CE246" s="21">
        <f t="shared" si="52"/>
        <v>4.5</v>
      </c>
      <c r="CF246" s="21">
        <f t="shared" si="53"/>
        <v>3.9166666666666665</v>
      </c>
      <c r="CG246" s="21">
        <f t="shared" si="54"/>
        <v>4.833333333333333</v>
      </c>
      <c r="CH246" s="21">
        <f t="shared" si="55"/>
        <v>4</v>
      </c>
      <c r="CI246" s="21">
        <f t="shared" si="56"/>
        <v>2.75</v>
      </c>
      <c r="CJ246" s="21">
        <f t="shared" si="57"/>
        <v>4</v>
      </c>
    </row>
    <row r="247" spans="1:88">
      <c r="A247" s="9">
        <v>247</v>
      </c>
      <c r="B247" s="9" t="s">
        <v>138</v>
      </c>
      <c r="C247" s="9" t="s">
        <v>98</v>
      </c>
      <c r="D247" s="9" t="s">
        <v>77</v>
      </c>
      <c r="E247" s="9" t="s">
        <v>78</v>
      </c>
      <c r="F247" s="9" t="s">
        <v>64</v>
      </c>
      <c r="H247" s="9" t="s">
        <v>65</v>
      </c>
      <c r="I247" s="9" t="s">
        <v>87</v>
      </c>
      <c r="K247" s="9" t="s">
        <v>322</v>
      </c>
      <c r="N247" s="9" t="s">
        <v>70</v>
      </c>
      <c r="O247" s="9" t="s">
        <v>70</v>
      </c>
      <c r="P247" s="10">
        <v>2.5</v>
      </c>
      <c r="Q247" s="10">
        <v>2</v>
      </c>
      <c r="R247" s="10">
        <v>2</v>
      </c>
      <c r="S247" s="10">
        <v>2.5</v>
      </c>
      <c r="T247" s="10">
        <v>2.5</v>
      </c>
      <c r="U247" s="10">
        <v>2</v>
      </c>
      <c r="V247" s="10">
        <v>2.25</v>
      </c>
      <c r="W247" s="11">
        <v>4</v>
      </c>
      <c r="X247" s="11">
        <v>4</v>
      </c>
      <c r="Y247" s="11">
        <v>4</v>
      </c>
      <c r="Z247" s="11">
        <v>4</v>
      </c>
      <c r="AA247" s="11">
        <v>3.5</v>
      </c>
      <c r="AB247" s="11">
        <v>4</v>
      </c>
      <c r="AC247" s="11">
        <v>3.9166666666666665</v>
      </c>
      <c r="AD247" s="10">
        <v>1</v>
      </c>
      <c r="AE247" s="10">
        <v>1</v>
      </c>
      <c r="AF247" s="10">
        <v>2</v>
      </c>
      <c r="AG247" s="10">
        <v>3</v>
      </c>
      <c r="AH247" s="10">
        <v>3</v>
      </c>
      <c r="AI247" s="10">
        <v>1</v>
      </c>
      <c r="AJ247" s="10">
        <v>1.8333333333333333</v>
      </c>
      <c r="AK247" s="10">
        <v>3</v>
      </c>
      <c r="AL247" s="10">
        <v>4</v>
      </c>
      <c r="AM247" s="10"/>
      <c r="AN247" s="10">
        <v>3.5</v>
      </c>
      <c r="AO247" s="10">
        <v>1</v>
      </c>
      <c r="AP247" s="10">
        <v>3.25</v>
      </c>
      <c r="AQ247" s="12">
        <v>1</v>
      </c>
      <c r="AR247" s="12">
        <v>1</v>
      </c>
      <c r="AS247" s="12">
        <v>1</v>
      </c>
      <c r="AT247" s="12">
        <v>1</v>
      </c>
      <c r="AU247" s="12">
        <v>1</v>
      </c>
      <c r="AV247" s="12">
        <v>1</v>
      </c>
      <c r="AW247" s="12">
        <v>1</v>
      </c>
      <c r="AX247" s="12">
        <v>1</v>
      </c>
      <c r="AY247" s="12">
        <v>1</v>
      </c>
      <c r="AZ247" s="12">
        <v>1</v>
      </c>
      <c r="BA247" s="12">
        <v>1</v>
      </c>
      <c r="BB247" s="13">
        <v>269.10000000000002</v>
      </c>
      <c r="BC247" s="13">
        <v>364.7</v>
      </c>
      <c r="BD247" s="13">
        <v>95.6</v>
      </c>
      <c r="BE247" s="13">
        <v>0.36</v>
      </c>
      <c r="BF247" s="13" t="s">
        <v>209</v>
      </c>
      <c r="BG247" s="13" t="s">
        <v>326</v>
      </c>
      <c r="BJ247" s="14" t="s">
        <v>355</v>
      </c>
      <c r="BK247" s="14" t="s">
        <v>344</v>
      </c>
      <c r="BL247" s="14" t="s">
        <v>345</v>
      </c>
      <c r="BQ247" s="14">
        <v>0</v>
      </c>
      <c r="BR247" s="14">
        <v>0</v>
      </c>
      <c r="BS247" s="14">
        <v>0</v>
      </c>
      <c r="BT247" s="14">
        <v>50</v>
      </c>
      <c r="BU247" s="14">
        <v>50</v>
      </c>
      <c r="BW247" s="14">
        <v>20</v>
      </c>
      <c r="BX247" s="9">
        <f t="shared" si="45"/>
        <v>3.5</v>
      </c>
      <c r="BY247" s="9">
        <f t="shared" si="46"/>
        <v>1</v>
      </c>
      <c r="BZ247" s="9">
        <f t="shared" si="47"/>
        <v>2</v>
      </c>
      <c r="CA247" s="9">
        <f t="shared" si="48"/>
        <v>3</v>
      </c>
      <c r="CB247" s="9">
        <f t="shared" si="49"/>
        <v>1</v>
      </c>
      <c r="CC247" s="9">
        <f t="shared" si="50"/>
        <v>3.25</v>
      </c>
      <c r="CD247" s="9">
        <f t="shared" si="51"/>
        <v>1</v>
      </c>
      <c r="CE247" s="21">
        <f t="shared" si="52"/>
        <v>3.9166666666666665</v>
      </c>
      <c r="CF247" s="21">
        <f t="shared" si="53"/>
        <v>1.8333333333333333</v>
      </c>
      <c r="CG247" s="21">
        <f t="shared" si="54"/>
        <v>2.25</v>
      </c>
      <c r="CH247" s="21">
        <f t="shared" si="55"/>
        <v>3.5</v>
      </c>
      <c r="CI247" s="21">
        <f t="shared" si="56"/>
        <v>3.25</v>
      </c>
      <c r="CJ247" s="21">
        <f t="shared" si="57"/>
        <v>2.95</v>
      </c>
    </row>
    <row r="248" spans="1:88">
      <c r="A248" s="9">
        <v>248</v>
      </c>
      <c r="B248" s="9" t="s">
        <v>227</v>
      </c>
      <c r="C248" s="9" t="s">
        <v>228</v>
      </c>
      <c r="D248" s="9" t="s">
        <v>77</v>
      </c>
      <c r="E248" s="9" t="s">
        <v>78</v>
      </c>
      <c r="F248" s="9" t="s">
        <v>78</v>
      </c>
      <c r="H248" s="9" t="s">
        <v>65</v>
      </c>
      <c r="I248" s="9" t="s">
        <v>83</v>
      </c>
      <c r="J248" s="9" t="s">
        <v>65</v>
      </c>
      <c r="K248" s="9" t="s">
        <v>323</v>
      </c>
      <c r="N248" s="9" t="s">
        <v>70</v>
      </c>
      <c r="P248" s="10">
        <v>4</v>
      </c>
      <c r="Q248" s="10">
        <v>4</v>
      </c>
      <c r="R248" s="10">
        <v>4</v>
      </c>
      <c r="S248" s="10">
        <v>4.5</v>
      </c>
      <c r="T248" s="10">
        <v>4</v>
      </c>
      <c r="U248" s="10">
        <v>3</v>
      </c>
      <c r="V248" s="10">
        <v>3.9166666666666665</v>
      </c>
      <c r="W248" s="11">
        <v>2.5</v>
      </c>
      <c r="X248" s="11">
        <v>5</v>
      </c>
      <c r="Y248" s="11">
        <v>4</v>
      </c>
      <c r="Z248" s="11">
        <v>4.5</v>
      </c>
      <c r="AA248" s="11">
        <v>4.5</v>
      </c>
      <c r="AB248" s="11">
        <v>3</v>
      </c>
      <c r="AC248" s="11">
        <v>3.9166666666666665</v>
      </c>
      <c r="AD248" s="10">
        <v>4.5</v>
      </c>
      <c r="AE248" s="10">
        <v>5</v>
      </c>
      <c r="AF248" s="10">
        <v>5</v>
      </c>
      <c r="AG248" s="10">
        <v>5</v>
      </c>
      <c r="AH248" s="10">
        <v>5</v>
      </c>
      <c r="AI248" s="10">
        <v>5</v>
      </c>
      <c r="AJ248" s="10">
        <v>4.916666666666667</v>
      </c>
      <c r="AK248" s="10">
        <v>5</v>
      </c>
      <c r="AL248" s="10">
        <v>4</v>
      </c>
      <c r="AM248" s="10">
        <v>5</v>
      </c>
      <c r="AN248" s="10">
        <v>4.666666666666667</v>
      </c>
      <c r="AO248" s="10">
        <v>1</v>
      </c>
      <c r="AP248" s="10">
        <v>4.666666666666667</v>
      </c>
      <c r="AQ248" s="12">
        <v>2</v>
      </c>
      <c r="AR248" s="12">
        <v>3</v>
      </c>
      <c r="AS248" s="12">
        <v>3</v>
      </c>
      <c r="AT248" s="12">
        <v>3</v>
      </c>
      <c r="AU248" s="12">
        <v>3</v>
      </c>
      <c r="AV248" s="12">
        <v>2.8</v>
      </c>
      <c r="AW248" s="12">
        <v>3</v>
      </c>
      <c r="AX248" s="12">
        <v>1</v>
      </c>
      <c r="AY248" s="12">
        <v>2</v>
      </c>
      <c r="AZ248" s="12">
        <v>3</v>
      </c>
      <c r="BA248" s="12">
        <v>1</v>
      </c>
      <c r="BB248" s="13">
        <v>516.20000000000005</v>
      </c>
      <c r="BC248" s="13">
        <v>692.6</v>
      </c>
      <c r="BD248" s="13">
        <v>176.4</v>
      </c>
      <c r="BE248" s="13">
        <v>0.34</v>
      </c>
      <c r="BF248" s="13" t="s">
        <v>229</v>
      </c>
      <c r="BG248" s="13" t="s">
        <v>326</v>
      </c>
      <c r="BQ248" s="14">
        <v>50</v>
      </c>
      <c r="BR248" s="14">
        <v>50</v>
      </c>
      <c r="BS248" s="14">
        <v>50</v>
      </c>
      <c r="BT248" s="14">
        <v>55</v>
      </c>
      <c r="BU248" s="14">
        <v>55</v>
      </c>
      <c r="BW248" s="14">
        <v>52</v>
      </c>
      <c r="BX248" s="9">
        <f t="shared" si="45"/>
        <v>2.5</v>
      </c>
      <c r="BY248" s="9">
        <f t="shared" si="46"/>
        <v>4.5</v>
      </c>
      <c r="BZ248" s="9">
        <f t="shared" si="47"/>
        <v>3</v>
      </c>
      <c r="CA248" s="9">
        <f t="shared" si="48"/>
        <v>4</v>
      </c>
      <c r="CB248" s="9">
        <f t="shared" si="49"/>
        <v>1</v>
      </c>
      <c r="CC248" s="9">
        <f t="shared" si="50"/>
        <v>4.666666666666667</v>
      </c>
      <c r="CD248" s="9">
        <f t="shared" si="51"/>
        <v>1</v>
      </c>
      <c r="CE248" s="21">
        <f t="shared" si="52"/>
        <v>3.9166666666666665</v>
      </c>
      <c r="CF248" s="21">
        <f t="shared" si="53"/>
        <v>4.916666666666667</v>
      </c>
      <c r="CG248" s="21">
        <f t="shared" si="54"/>
        <v>3.9166666666666665</v>
      </c>
      <c r="CH248" s="21">
        <f t="shared" si="55"/>
        <v>4.666666666666667</v>
      </c>
      <c r="CI248" s="21">
        <f t="shared" si="56"/>
        <v>4.666666666666667</v>
      </c>
      <c r="CJ248" s="21">
        <f t="shared" si="57"/>
        <v>4.416666666666667</v>
      </c>
    </row>
    <row r="249" spans="1:88">
      <c r="A249" s="9">
        <v>249</v>
      </c>
      <c r="B249" s="9" t="s">
        <v>114</v>
      </c>
      <c r="C249" s="9" t="s">
        <v>134</v>
      </c>
      <c r="D249" s="9" t="s">
        <v>73</v>
      </c>
      <c r="E249" s="9" t="s">
        <v>74</v>
      </c>
      <c r="H249" s="9" t="s">
        <v>69</v>
      </c>
      <c r="I249" s="9" t="s">
        <v>87</v>
      </c>
      <c r="K249" s="9" t="s">
        <v>322</v>
      </c>
      <c r="N249" s="9" t="s">
        <v>70</v>
      </c>
      <c r="P249" s="10">
        <v>4</v>
      </c>
      <c r="Q249" s="10">
        <v>5</v>
      </c>
      <c r="R249" s="10">
        <v>4</v>
      </c>
      <c r="S249" s="10">
        <v>4.5</v>
      </c>
      <c r="T249" s="10">
        <v>4.5</v>
      </c>
      <c r="U249" s="10">
        <v>3</v>
      </c>
      <c r="V249" s="10">
        <v>4.166666666666667</v>
      </c>
      <c r="W249" s="11">
        <v>4.5</v>
      </c>
      <c r="X249" s="11">
        <v>3</v>
      </c>
      <c r="Y249" s="11">
        <v>5</v>
      </c>
      <c r="Z249" s="11">
        <v>4</v>
      </c>
      <c r="AA249" s="11">
        <v>5</v>
      </c>
      <c r="AB249" s="11">
        <v>3</v>
      </c>
      <c r="AC249" s="11">
        <v>4.8333333333333002</v>
      </c>
      <c r="AD249" s="10">
        <v>2</v>
      </c>
      <c r="AE249" s="10">
        <v>1</v>
      </c>
      <c r="AF249" s="10">
        <v>1</v>
      </c>
      <c r="AG249" s="10">
        <v>4.5</v>
      </c>
      <c r="AH249" s="10">
        <v>5</v>
      </c>
      <c r="AI249" s="10">
        <v>5</v>
      </c>
      <c r="AJ249" s="10">
        <v>3.8333333333333002</v>
      </c>
      <c r="AK249" s="10">
        <v>2</v>
      </c>
      <c r="AL249" s="10">
        <v>4</v>
      </c>
      <c r="AM249" s="10"/>
      <c r="AN249" s="10">
        <v>3</v>
      </c>
      <c r="AO249" s="10">
        <v>4</v>
      </c>
      <c r="AP249" s="10">
        <v>3</v>
      </c>
      <c r="AQ249" s="12">
        <v>1</v>
      </c>
      <c r="AR249" s="12">
        <v>1</v>
      </c>
      <c r="AS249" s="12">
        <v>1</v>
      </c>
      <c r="AT249" s="12">
        <v>2</v>
      </c>
      <c r="AU249" s="12">
        <v>3</v>
      </c>
      <c r="AV249" s="12">
        <v>1.6</v>
      </c>
      <c r="AW249" s="12">
        <v>2</v>
      </c>
      <c r="AX249" s="12">
        <v>3</v>
      </c>
      <c r="AY249" s="12">
        <v>3</v>
      </c>
      <c r="AZ249" s="12">
        <v>3</v>
      </c>
      <c r="BA249" s="12">
        <v>3</v>
      </c>
      <c r="BB249" s="13">
        <v>334.7</v>
      </c>
      <c r="BC249" s="13">
        <v>472.5</v>
      </c>
      <c r="BD249" s="13">
        <v>137.80000000000001</v>
      </c>
      <c r="BE249" s="13">
        <v>0.41</v>
      </c>
      <c r="BF249" s="13" t="s">
        <v>209</v>
      </c>
      <c r="BG249" s="13" t="s">
        <v>326</v>
      </c>
      <c r="BJ249" s="14" t="s">
        <v>363</v>
      </c>
      <c r="BK249" s="14" t="s">
        <v>364</v>
      </c>
      <c r="BL249" s="14" t="s">
        <v>342</v>
      </c>
      <c r="BM249" s="14" t="s">
        <v>342</v>
      </c>
      <c r="BQ249" s="14">
        <v>55</v>
      </c>
      <c r="BR249" s="14">
        <v>60</v>
      </c>
      <c r="BS249" s="14">
        <v>60</v>
      </c>
      <c r="BT249" s="14">
        <v>70</v>
      </c>
      <c r="BW249" s="14">
        <v>61.25</v>
      </c>
      <c r="BX249" s="9">
        <f t="shared" si="45"/>
        <v>3</v>
      </c>
      <c r="BY249" s="9">
        <f t="shared" si="46"/>
        <v>1</v>
      </c>
      <c r="BZ249" s="9">
        <f t="shared" si="47"/>
        <v>3</v>
      </c>
      <c r="CA249" s="9">
        <f t="shared" si="48"/>
        <v>2</v>
      </c>
      <c r="CB249" s="9">
        <f t="shared" si="49"/>
        <v>4</v>
      </c>
      <c r="CC249" s="9">
        <f t="shared" si="50"/>
        <v>3</v>
      </c>
      <c r="CD249" s="9">
        <f t="shared" si="51"/>
        <v>1</v>
      </c>
      <c r="CE249" s="21">
        <f t="shared" si="52"/>
        <v>4.8333333333333002</v>
      </c>
      <c r="CF249" s="21">
        <f t="shared" si="53"/>
        <v>3.8333333333333002</v>
      </c>
      <c r="CG249" s="21">
        <f t="shared" si="54"/>
        <v>4.166666666666667</v>
      </c>
      <c r="CH249" s="21">
        <f t="shared" si="55"/>
        <v>3</v>
      </c>
      <c r="CI249" s="21">
        <f t="shared" si="56"/>
        <v>3</v>
      </c>
      <c r="CJ249" s="21">
        <f t="shared" si="57"/>
        <v>3.7666666666666537</v>
      </c>
    </row>
    <row r="250" spans="1:88">
      <c r="A250" s="9">
        <v>250</v>
      </c>
      <c r="B250" s="9" t="s">
        <v>114</v>
      </c>
      <c r="D250" s="9" t="s">
        <v>72</v>
      </c>
      <c r="E250" s="9" t="s">
        <v>105</v>
      </c>
      <c r="F250" s="9" t="s">
        <v>78</v>
      </c>
      <c r="H250" s="9" t="s">
        <v>69</v>
      </c>
      <c r="I250" s="9" t="s">
        <v>83</v>
      </c>
      <c r="J250" s="9" t="s">
        <v>69</v>
      </c>
      <c r="K250" s="9" t="s">
        <v>92</v>
      </c>
      <c r="P250" s="10">
        <v>4</v>
      </c>
      <c r="Q250" s="10">
        <v>4</v>
      </c>
      <c r="R250" s="10">
        <v>3</v>
      </c>
      <c r="S250" s="10">
        <v>4</v>
      </c>
      <c r="T250" s="10">
        <v>3</v>
      </c>
      <c r="U250" s="10">
        <v>1</v>
      </c>
      <c r="V250" s="10">
        <v>3.1666666666666665</v>
      </c>
      <c r="W250" s="11">
        <v>4</v>
      </c>
      <c r="X250" s="11">
        <v>5</v>
      </c>
      <c r="Y250" s="11">
        <v>5</v>
      </c>
      <c r="Z250" s="11">
        <v>5</v>
      </c>
      <c r="AA250" s="11">
        <v>5</v>
      </c>
      <c r="AB250" s="11">
        <v>5</v>
      </c>
      <c r="AC250" s="11">
        <v>4.833333333333333</v>
      </c>
      <c r="AD250" s="10">
        <v>5</v>
      </c>
      <c r="AE250" s="10">
        <v>5</v>
      </c>
      <c r="AF250" s="10">
        <v>3</v>
      </c>
      <c r="AG250" s="10">
        <v>5</v>
      </c>
      <c r="AH250" s="10">
        <v>5</v>
      </c>
      <c r="AI250" s="10">
        <v>5</v>
      </c>
      <c r="AJ250" s="10">
        <v>4.666666666666667</v>
      </c>
      <c r="AK250" s="10">
        <v>3</v>
      </c>
      <c r="AL250" s="10">
        <v>4</v>
      </c>
      <c r="AM250" s="10">
        <v>4</v>
      </c>
      <c r="AN250" s="10">
        <v>3.6666666666666665</v>
      </c>
      <c r="AO250" s="10">
        <v>3</v>
      </c>
      <c r="AP250" s="10">
        <v>3.6666666666666665</v>
      </c>
      <c r="AQ250" s="12">
        <v>3</v>
      </c>
      <c r="AR250" s="12">
        <v>3</v>
      </c>
      <c r="AS250" s="12">
        <v>2</v>
      </c>
      <c r="AT250" s="12">
        <v>3</v>
      </c>
      <c r="AU250" s="12">
        <v>2.5</v>
      </c>
      <c r="AV250" s="12">
        <v>2.7</v>
      </c>
      <c r="AW250" s="12">
        <v>3</v>
      </c>
      <c r="AX250" s="12">
        <v>3</v>
      </c>
      <c r="AY250" s="12">
        <v>2</v>
      </c>
      <c r="AZ250" s="12">
        <v>2</v>
      </c>
      <c r="BA250" s="12">
        <v>3</v>
      </c>
      <c r="BB250" s="13">
        <v>698.6</v>
      </c>
      <c r="BC250" s="13">
        <v>145.19999999999999</v>
      </c>
      <c r="BD250" s="13">
        <v>346.6</v>
      </c>
      <c r="BE250" s="13">
        <v>0.5</v>
      </c>
      <c r="BF250" s="13" t="s">
        <v>223</v>
      </c>
      <c r="BG250" s="13" t="s">
        <v>326</v>
      </c>
      <c r="BQ250" s="14">
        <v>50</v>
      </c>
      <c r="BR250" s="14">
        <v>50</v>
      </c>
      <c r="BS250" s="14">
        <v>50</v>
      </c>
      <c r="BT250" s="14">
        <v>55</v>
      </c>
      <c r="BW250" s="14">
        <v>51.25</v>
      </c>
      <c r="BX250" s="9">
        <f t="shared" si="45"/>
        <v>4</v>
      </c>
      <c r="BY250" s="9">
        <f t="shared" si="46"/>
        <v>3</v>
      </c>
      <c r="BZ250" s="9">
        <f t="shared" si="47"/>
        <v>1</v>
      </c>
      <c r="CA250" s="9">
        <f t="shared" si="48"/>
        <v>3</v>
      </c>
      <c r="CB250" s="9">
        <f t="shared" si="49"/>
        <v>3</v>
      </c>
      <c r="CC250" s="9">
        <f t="shared" si="50"/>
        <v>3.6666666666666665</v>
      </c>
      <c r="CD250" s="9">
        <f t="shared" si="51"/>
        <v>1</v>
      </c>
      <c r="CE250" s="21">
        <f t="shared" si="52"/>
        <v>4.833333333333333</v>
      </c>
      <c r="CF250" s="21">
        <f t="shared" si="53"/>
        <v>4.666666666666667</v>
      </c>
      <c r="CG250" s="21">
        <f t="shared" si="54"/>
        <v>3.1666666666666665</v>
      </c>
      <c r="CH250" s="21">
        <f t="shared" si="55"/>
        <v>3.6666666666666665</v>
      </c>
      <c r="CI250" s="21">
        <f t="shared" si="56"/>
        <v>3.6666666666666665</v>
      </c>
      <c r="CJ250" s="21">
        <f t="shared" si="57"/>
        <v>4</v>
      </c>
    </row>
    <row r="251" spans="1:88">
      <c r="A251" s="9">
        <v>251</v>
      </c>
      <c r="B251" s="9" t="s">
        <v>230</v>
      </c>
      <c r="C251" s="9" t="s">
        <v>231</v>
      </c>
      <c r="D251" s="9" t="s">
        <v>232</v>
      </c>
      <c r="E251" s="9" t="s">
        <v>74</v>
      </c>
      <c r="H251" s="9" t="s">
        <v>65</v>
      </c>
      <c r="I251" s="9" t="s">
        <v>83</v>
      </c>
      <c r="K251" s="9" t="s">
        <v>332</v>
      </c>
      <c r="P251" s="10">
        <v>3</v>
      </c>
      <c r="Q251" s="10">
        <v>3</v>
      </c>
      <c r="R251" s="10">
        <v>2</v>
      </c>
      <c r="S251" s="10">
        <v>2</v>
      </c>
      <c r="T251" s="10">
        <v>3</v>
      </c>
      <c r="U251" s="10">
        <v>1</v>
      </c>
      <c r="V251" s="10">
        <v>2.3333333333333335</v>
      </c>
      <c r="W251" s="11">
        <v>1</v>
      </c>
      <c r="X251" s="11">
        <v>2</v>
      </c>
      <c r="Y251" s="11">
        <v>2</v>
      </c>
      <c r="Z251" s="11">
        <v>1.5</v>
      </c>
      <c r="AA251" s="11">
        <v>1.5</v>
      </c>
      <c r="AB251" s="11">
        <v>2</v>
      </c>
      <c r="AC251" s="11">
        <v>1.6666666666666667</v>
      </c>
      <c r="AD251" s="10">
        <v>1</v>
      </c>
      <c r="AE251" s="10">
        <v>1</v>
      </c>
      <c r="AF251" s="10">
        <v>1</v>
      </c>
      <c r="AG251" s="10">
        <v>1</v>
      </c>
      <c r="AH251" s="10">
        <v>1</v>
      </c>
      <c r="AI251" s="10">
        <v>1</v>
      </c>
      <c r="AJ251" s="10">
        <v>1</v>
      </c>
      <c r="AK251" s="10">
        <v>4</v>
      </c>
      <c r="AL251" s="10">
        <v>4</v>
      </c>
      <c r="AM251" s="10"/>
      <c r="AN251" s="10">
        <v>4</v>
      </c>
      <c r="AO251" s="10">
        <v>3</v>
      </c>
      <c r="AP251" s="10">
        <v>3</v>
      </c>
      <c r="AQ251" s="12">
        <v>3</v>
      </c>
      <c r="AR251" s="12">
        <v>3</v>
      </c>
      <c r="AS251" s="12">
        <v>3</v>
      </c>
      <c r="AT251" s="12">
        <v>3</v>
      </c>
      <c r="AU251" s="12">
        <v>3</v>
      </c>
      <c r="AV251" s="12">
        <v>3</v>
      </c>
      <c r="AW251" s="12">
        <v>3</v>
      </c>
      <c r="AX251" s="12">
        <v>3</v>
      </c>
      <c r="AY251" s="12">
        <v>3</v>
      </c>
      <c r="AZ251" s="12">
        <v>3</v>
      </c>
      <c r="BA251" s="12">
        <v>3</v>
      </c>
      <c r="BB251" s="13">
        <v>747.1</v>
      </c>
      <c r="BC251" s="13">
        <v>841.4</v>
      </c>
      <c r="BD251" s="13">
        <v>94.3</v>
      </c>
      <c r="BE251" s="13">
        <v>0.13</v>
      </c>
      <c r="BF251" s="13" t="s">
        <v>209</v>
      </c>
      <c r="BG251" s="13" t="s">
        <v>326</v>
      </c>
      <c r="BX251" s="9">
        <f t="shared" si="45"/>
        <v>1</v>
      </c>
      <c r="BY251" s="9">
        <f t="shared" si="46"/>
        <v>1</v>
      </c>
      <c r="BZ251" s="9">
        <f t="shared" si="47"/>
        <v>1</v>
      </c>
      <c r="CA251" s="9">
        <f t="shared" si="48"/>
        <v>4</v>
      </c>
      <c r="CB251" s="9">
        <f t="shared" si="49"/>
        <v>3</v>
      </c>
      <c r="CC251" s="9">
        <f t="shared" si="50"/>
        <v>3</v>
      </c>
      <c r="CD251" s="9">
        <f t="shared" si="51"/>
        <v>1</v>
      </c>
      <c r="CE251" s="21">
        <f t="shared" si="52"/>
        <v>1.6666666666666667</v>
      </c>
      <c r="CF251" s="21">
        <f t="shared" si="53"/>
        <v>1</v>
      </c>
      <c r="CG251" s="21">
        <f t="shared" si="54"/>
        <v>2.3333333333333335</v>
      </c>
      <c r="CH251" s="21">
        <f t="shared" si="55"/>
        <v>4</v>
      </c>
      <c r="CI251" s="21">
        <f t="shared" si="56"/>
        <v>3</v>
      </c>
      <c r="CJ251" s="21">
        <f t="shared" si="57"/>
        <v>2.4</v>
      </c>
    </row>
    <row r="252" spans="1:88">
      <c r="A252" s="9">
        <v>252</v>
      </c>
      <c r="B252" s="9" t="s">
        <v>84</v>
      </c>
      <c r="C252" s="9" t="s">
        <v>98</v>
      </c>
      <c r="D252" s="9" t="s">
        <v>82</v>
      </c>
      <c r="E252" s="9" t="s">
        <v>78</v>
      </c>
      <c r="H252" s="9" t="s">
        <v>65</v>
      </c>
      <c r="I252" s="9" t="s">
        <v>87</v>
      </c>
      <c r="J252" s="9" t="s">
        <v>65</v>
      </c>
      <c r="K252" s="9" t="s">
        <v>323</v>
      </c>
      <c r="N252" s="9" t="s">
        <v>70</v>
      </c>
      <c r="P252" s="10">
        <v>2</v>
      </c>
      <c r="Q252" s="10">
        <v>4</v>
      </c>
      <c r="R252" s="10">
        <v>3</v>
      </c>
      <c r="S252" s="10">
        <v>3.5</v>
      </c>
      <c r="T252" s="10">
        <v>3.5</v>
      </c>
      <c r="U252" s="10">
        <v>4</v>
      </c>
      <c r="V252" s="10">
        <v>3.3333333333333335</v>
      </c>
      <c r="W252" s="11">
        <v>2</v>
      </c>
      <c r="X252" s="11">
        <v>3</v>
      </c>
      <c r="Y252" s="11">
        <v>3</v>
      </c>
      <c r="Z252" s="11">
        <v>2.5</v>
      </c>
      <c r="AA252" s="11">
        <v>3.5</v>
      </c>
      <c r="AB252" s="11">
        <v>4</v>
      </c>
      <c r="AC252" s="11">
        <v>3</v>
      </c>
      <c r="AD252" s="10">
        <v>1</v>
      </c>
      <c r="AE252" s="10">
        <v>1</v>
      </c>
      <c r="AF252" s="10">
        <v>1</v>
      </c>
      <c r="AG252" s="10">
        <v>1.5</v>
      </c>
      <c r="AH252" s="10">
        <v>1</v>
      </c>
      <c r="AI252" s="10">
        <v>1</v>
      </c>
      <c r="AJ252" s="10">
        <v>1.8333333333333</v>
      </c>
      <c r="AK252" s="10">
        <v>4</v>
      </c>
      <c r="AL252" s="10">
        <v>5</v>
      </c>
      <c r="AM252" s="10">
        <v>5</v>
      </c>
      <c r="AN252" s="10">
        <v>4.666666666666667</v>
      </c>
      <c r="AO252" s="10">
        <v>3.5</v>
      </c>
      <c r="AP252" s="10">
        <v>2.5</v>
      </c>
      <c r="AQ252" s="12">
        <v>1</v>
      </c>
      <c r="AR252" s="12">
        <v>1</v>
      </c>
      <c r="AS252" s="12">
        <v>2</v>
      </c>
      <c r="AT252" s="12">
        <v>1</v>
      </c>
      <c r="AU252" s="12">
        <v>1.5</v>
      </c>
      <c r="AV252" s="12">
        <v>1.3</v>
      </c>
      <c r="AW252" s="12">
        <v>2</v>
      </c>
      <c r="AX252" s="12">
        <v>1</v>
      </c>
      <c r="AY252" s="12">
        <v>1</v>
      </c>
      <c r="AZ252" s="12">
        <v>2</v>
      </c>
      <c r="BA252" s="12">
        <v>1</v>
      </c>
      <c r="BB252" s="13">
        <v>689.6</v>
      </c>
      <c r="BC252" s="13">
        <v>149.19999999999999</v>
      </c>
      <c r="BD252" s="13">
        <v>359.6</v>
      </c>
      <c r="BE252" s="13">
        <v>0.52</v>
      </c>
      <c r="BF252" s="13" t="s">
        <v>233</v>
      </c>
      <c r="BG252" s="13" t="s">
        <v>324</v>
      </c>
      <c r="BJ252" s="14" t="s">
        <v>342</v>
      </c>
      <c r="BK252" s="14" t="s">
        <v>342</v>
      </c>
      <c r="BL252" s="14" t="s">
        <v>354</v>
      </c>
      <c r="BM252" s="14" t="s">
        <v>346</v>
      </c>
      <c r="BN252" s="14" t="s">
        <v>358</v>
      </c>
      <c r="BQ252" s="14">
        <v>0</v>
      </c>
      <c r="BR252" s="14">
        <v>0</v>
      </c>
      <c r="BS252" s="14">
        <v>0</v>
      </c>
      <c r="BT252" s="14">
        <v>50</v>
      </c>
      <c r="BW252" s="14">
        <v>12.5</v>
      </c>
      <c r="BX252" s="9">
        <f t="shared" si="45"/>
        <v>2</v>
      </c>
      <c r="BY252" s="9">
        <f t="shared" si="46"/>
        <v>1</v>
      </c>
      <c r="BZ252" s="9">
        <f t="shared" si="47"/>
        <v>2</v>
      </c>
      <c r="CA252" s="9">
        <f t="shared" si="48"/>
        <v>4</v>
      </c>
      <c r="CB252" s="9">
        <f t="shared" si="49"/>
        <v>3.5</v>
      </c>
      <c r="CC252" s="9">
        <f t="shared" si="50"/>
        <v>2.5</v>
      </c>
      <c r="CD252" s="9">
        <f t="shared" si="51"/>
        <v>1</v>
      </c>
      <c r="CE252" s="21">
        <f t="shared" si="52"/>
        <v>3</v>
      </c>
      <c r="CF252" s="21">
        <f t="shared" si="53"/>
        <v>1.8333333333333</v>
      </c>
      <c r="CG252" s="21">
        <f t="shared" si="54"/>
        <v>3.3333333333333335</v>
      </c>
      <c r="CH252" s="21">
        <f t="shared" si="55"/>
        <v>4.666666666666667</v>
      </c>
      <c r="CI252" s="21">
        <f t="shared" si="56"/>
        <v>2.5</v>
      </c>
      <c r="CJ252" s="21">
        <f t="shared" si="57"/>
        <v>3.0666666666666602</v>
      </c>
    </row>
    <row r="253" spans="1:88">
      <c r="A253" s="9">
        <v>253</v>
      </c>
      <c r="B253" s="9" t="s">
        <v>60</v>
      </c>
      <c r="C253" s="9" t="s">
        <v>234</v>
      </c>
      <c r="D253" s="9" t="s">
        <v>82</v>
      </c>
      <c r="E253" s="9" t="s">
        <v>74</v>
      </c>
      <c r="F253" s="9" t="s">
        <v>78</v>
      </c>
      <c r="H253" s="9" t="s">
        <v>65</v>
      </c>
      <c r="I253" s="9" t="s">
        <v>83</v>
      </c>
      <c r="K253" s="9" t="s">
        <v>92</v>
      </c>
      <c r="N253" s="9" t="s">
        <v>70</v>
      </c>
      <c r="P253" s="10">
        <v>3.5</v>
      </c>
      <c r="Q253" s="10">
        <v>4</v>
      </c>
      <c r="R253" s="10">
        <v>3</v>
      </c>
      <c r="S253" s="10">
        <v>3.5</v>
      </c>
      <c r="T253" s="10">
        <v>2.5</v>
      </c>
      <c r="U253" s="10">
        <v>3</v>
      </c>
      <c r="V253" s="10">
        <v>3.25</v>
      </c>
      <c r="W253" s="11">
        <v>5</v>
      </c>
      <c r="X253" s="11">
        <v>2</v>
      </c>
      <c r="Y253" s="11"/>
      <c r="Z253" s="11">
        <v>3.5</v>
      </c>
      <c r="AA253" s="11">
        <v>3.5</v>
      </c>
      <c r="AB253" s="11">
        <v>3</v>
      </c>
      <c r="AC253" s="11">
        <v>2.8333333333333335</v>
      </c>
      <c r="AD253" s="10">
        <v>5</v>
      </c>
      <c r="AE253" s="10">
        <v>5</v>
      </c>
      <c r="AF253" s="10"/>
      <c r="AG253" s="10">
        <v>5</v>
      </c>
      <c r="AH253" s="10">
        <v>5</v>
      </c>
      <c r="AI253" s="10">
        <v>5</v>
      </c>
      <c r="AJ253" s="10">
        <v>4.166666666666667</v>
      </c>
      <c r="AK253" s="10">
        <v>4</v>
      </c>
      <c r="AL253" s="10">
        <v>5</v>
      </c>
      <c r="AM253" s="10">
        <v>5</v>
      </c>
      <c r="AN253" s="10">
        <v>4.666666666666667</v>
      </c>
      <c r="AO253" s="10">
        <v>3</v>
      </c>
      <c r="AP253" s="10">
        <v>4.75</v>
      </c>
      <c r="AQ253" s="12">
        <v>2</v>
      </c>
      <c r="AR253" s="12">
        <v>1</v>
      </c>
      <c r="AS253" s="12">
        <v>2</v>
      </c>
      <c r="AT253" s="12">
        <v>3</v>
      </c>
      <c r="AU253" s="12">
        <v>2</v>
      </c>
      <c r="AV253" s="12">
        <v>2</v>
      </c>
      <c r="AW253" s="12">
        <v>1</v>
      </c>
      <c r="AX253" s="12">
        <v>1</v>
      </c>
      <c r="AY253" s="12">
        <v>2</v>
      </c>
      <c r="AZ253" s="12">
        <v>3</v>
      </c>
      <c r="BA253" s="12">
        <v>1</v>
      </c>
      <c r="BB253" s="13">
        <v>754.8</v>
      </c>
      <c r="BC253" s="13">
        <v>994.5</v>
      </c>
      <c r="BD253" s="13">
        <v>239.7</v>
      </c>
      <c r="BE253" s="13">
        <v>0.32</v>
      </c>
      <c r="BF253" s="13" t="s">
        <v>225</v>
      </c>
      <c r="BG253" s="13" t="s">
        <v>324</v>
      </c>
      <c r="BQ253" s="14">
        <v>50</v>
      </c>
      <c r="BR253" s="14">
        <v>50</v>
      </c>
      <c r="BS253" s="14">
        <v>55</v>
      </c>
      <c r="BT253" s="14">
        <v>60</v>
      </c>
      <c r="BW253" s="14">
        <v>53.75</v>
      </c>
      <c r="BX253" s="9">
        <f t="shared" si="45"/>
        <v>2</v>
      </c>
      <c r="BY253" s="9">
        <f t="shared" si="46"/>
        <v>4.166666666666667</v>
      </c>
      <c r="BZ253" s="9">
        <f t="shared" si="47"/>
        <v>2.5</v>
      </c>
      <c r="CA253" s="9">
        <f t="shared" si="48"/>
        <v>4</v>
      </c>
      <c r="CB253" s="9">
        <f t="shared" si="49"/>
        <v>3</v>
      </c>
      <c r="CC253" s="9">
        <f t="shared" si="50"/>
        <v>4.75</v>
      </c>
      <c r="CD253" s="9">
        <f t="shared" si="51"/>
        <v>2</v>
      </c>
      <c r="CE253" s="21">
        <f t="shared" si="52"/>
        <v>2.8333333333333335</v>
      </c>
      <c r="CF253" s="21">
        <f t="shared" si="53"/>
        <v>4.166666666666667</v>
      </c>
      <c r="CG253" s="21">
        <f t="shared" si="54"/>
        <v>3.25</v>
      </c>
      <c r="CH253" s="21">
        <f t="shared" si="55"/>
        <v>4.666666666666667</v>
      </c>
      <c r="CI253" s="21">
        <f t="shared" si="56"/>
        <v>4.75</v>
      </c>
      <c r="CJ253" s="21">
        <f t="shared" si="57"/>
        <v>3.9333333333333336</v>
      </c>
    </row>
    <row r="254" spans="1:88">
      <c r="A254" s="9">
        <v>254</v>
      </c>
      <c r="B254" s="9" t="s">
        <v>151</v>
      </c>
      <c r="C254" s="9" t="s">
        <v>85</v>
      </c>
      <c r="D254" s="9" t="s">
        <v>96</v>
      </c>
      <c r="E254" s="9" t="s">
        <v>74</v>
      </c>
      <c r="F254" s="9" t="s">
        <v>64</v>
      </c>
      <c r="H254" s="9" t="s">
        <v>65</v>
      </c>
      <c r="I254" s="9" t="s">
        <v>87</v>
      </c>
      <c r="J254" s="9" t="s">
        <v>65</v>
      </c>
      <c r="K254" s="9" t="s">
        <v>323</v>
      </c>
      <c r="N254" s="9" t="s">
        <v>70</v>
      </c>
      <c r="P254" s="10">
        <v>4</v>
      </c>
      <c r="Q254" s="10">
        <v>4</v>
      </c>
      <c r="R254" s="10">
        <v>3</v>
      </c>
      <c r="S254" s="10">
        <v>4.5</v>
      </c>
      <c r="T254" s="10">
        <v>3.5</v>
      </c>
      <c r="U254" s="10">
        <v>4</v>
      </c>
      <c r="V254" s="10">
        <v>3.8333333333333335</v>
      </c>
      <c r="W254" s="11">
        <v>4.5</v>
      </c>
      <c r="X254" s="11">
        <v>4</v>
      </c>
      <c r="Y254" s="11">
        <v>5</v>
      </c>
      <c r="Z254" s="11">
        <v>4.5</v>
      </c>
      <c r="AA254" s="11">
        <v>5</v>
      </c>
      <c r="AB254" s="11">
        <v>4</v>
      </c>
      <c r="AC254" s="11">
        <v>4.5</v>
      </c>
      <c r="AD254" s="10">
        <v>2</v>
      </c>
      <c r="AE254" s="10">
        <v>1</v>
      </c>
      <c r="AF254" s="10">
        <v>5</v>
      </c>
      <c r="AG254" s="10">
        <v>5</v>
      </c>
      <c r="AH254" s="10">
        <v>4.5</v>
      </c>
      <c r="AI254" s="10">
        <v>1</v>
      </c>
      <c r="AJ254" s="10">
        <v>3.8333333333333002</v>
      </c>
      <c r="AK254" s="10">
        <v>4</v>
      </c>
      <c r="AL254" s="10">
        <v>3</v>
      </c>
      <c r="AM254" s="10">
        <v>3</v>
      </c>
      <c r="AN254" s="10">
        <v>3.3333333333333335</v>
      </c>
      <c r="AO254" s="10">
        <v>3</v>
      </c>
      <c r="AP254" s="10">
        <v>3.6666666666666665</v>
      </c>
      <c r="AQ254" s="12">
        <v>3</v>
      </c>
      <c r="AR254" s="12">
        <v>2</v>
      </c>
      <c r="AS254" s="12">
        <v>2</v>
      </c>
      <c r="AT254" s="12">
        <v>3</v>
      </c>
      <c r="AU254" s="12">
        <v>2</v>
      </c>
      <c r="AV254" s="12">
        <v>2.4</v>
      </c>
      <c r="AW254" s="12">
        <v>3</v>
      </c>
      <c r="AX254" s="12">
        <v>2</v>
      </c>
      <c r="AY254" s="12">
        <v>3</v>
      </c>
      <c r="AZ254" s="12">
        <v>2</v>
      </c>
      <c r="BA254" s="12">
        <v>3</v>
      </c>
      <c r="BB254" s="13">
        <v>48.6</v>
      </c>
      <c r="BC254" s="13">
        <v>64.2</v>
      </c>
      <c r="BD254" s="13">
        <v>123.6</v>
      </c>
      <c r="BE254" s="13">
        <v>0.26</v>
      </c>
      <c r="BF254" s="13" t="s">
        <v>217</v>
      </c>
      <c r="BG254" s="13" t="s">
        <v>324</v>
      </c>
      <c r="BJ254" s="14" t="s">
        <v>342</v>
      </c>
      <c r="BK254" s="14" t="s">
        <v>342</v>
      </c>
      <c r="BL254" s="14" t="s">
        <v>347</v>
      </c>
      <c r="BM254" s="14" t="s">
        <v>345</v>
      </c>
      <c r="BN254" s="14" t="s">
        <v>342</v>
      </c>
      <c r="BO254" s="14" t="s">
        <v>342</v>
      </c>
      <c r="BQ254" s="14">
        <v>50</v>
      </c>
      <c r="BR254" s="14">
        <v>50</v>
      </c>
      <c r="BS254" s="14">
        <v>50</v>
      </c>
      <c r="BT254" s="14">
        <v>55</v>
      </c>
      <c r="BW254" s="14">
        <v>51.25</v>
      </c>
      <c r="BX254" s="9">
        <f t="shared" si="45"/>
        <v>4</v>
      </c>
      <c r="BY254" s="9">
        <f t="shared" si="46"/>
        <v>1</v>
      </c>
      <c r="BZ254" s="9">
        <f t="shared" si="47"/>
        <v>3</v>
      </c>
      <c r="CA254" s="9">
        <f t="shared" si="48"/>
        <v>3</v>
      </c>
      <c r="CB254" s="9">
        <f t="shared" si="49"/>
        <v>3</v>
      </c>
      <c r="CC254" s="9">
        <f t="shared" si="50"/>
        <v>3.6666666666666665</v>
      </c>
      <c r="CD254" s="9">
        <f t="shared" si="51"/>
        <v>1</v>
      </c>
      <c r="CE254" s="21">
        <f t="shared" si="52"/>
        <v>4.5</v>
      </c>
      <c r="CF254" s="21">
        <f t="shared" si="53"/>
        <v>3.8333333333333002</v>
      </c>
      <c r="CG254" s="21">
        <f t="shared" si="54"/>
        <v>3.8333333333333335</v>
      </c>
      <c r="CH254" s="21">
        <f t="shared" si="55"/>
        <v>3.3333333333333335</v>
      </c>
      <c r="CI254" s="21">
        <f t="shared" si="56"/>
        <v>3.6666666666666665</v>
      </c>
      <c r="CJ254" s="21">
        <f t="shared" si="57"/>
        <v>3.8333333333333273</v>
      </c>
    </row>
    <row r="255" spans="1:88">
      <c r="A255" s="9">
        <v>255</v>
      </c>
      <c r="B255" s="9" t="s">
        <v>101</v>
      </c>
      <c r="C255" s="9" t="s">
        <v>98</v>
      </c>
      <c r="D255" s="9" t="s">
        <v>82</v>
      </c>
      <c r="E255" s="9" t="s">
        <v>78</v>
      </c>
      <c r="F255" s="9" t="s">
        <v>64</v>
      </c>
      <c r="H255" s="9" t="s">
        <v>65</v>
      </c>
      <c r="I255" s="9" t="s">
        <v>87</v>
      </c>
      <c r="K255" s="9" t="s">
        <v>322</v>
      </c>
      <c r="P255" s="10">
        <v>3</v>
      </c>
      <c r="Q255" s="10">
        <v>3</v>
      </c>
      <c r="R255" s="10">
        <v>3</v>
      </c>
      <c r="S255" s="10">
        <v>3</v>
      </c>
      <c r="T255" s="10">
        <v>3</v>
      </c>
      <c r="U255" s="10">
        <v>4</v>
      </c>
      <c r="V255" s="10">
        <v>3.1666666666666665</v>
      </c>
      <c r="W255" s="11">
        <v>5</v>
      </c>
      <c r="X255" s="11">
        <v>4</v>
      </c>
      <c r="Y255" s="11">
        <v>5</v>
      </c>
      <c r="Z255" s="11">
        <v>5</v>
      </c>
      <c r="AA255" s="11">
        <v>4.5</v>
      </c>
      <c r="AB255" s="11">
        <v>5</v>
      </c>
      <c r="AC255" s="11">
        <v>4.75</v>
      </c>
      <c r="AD255" s="10">
        <v>3</v>
      </c>
      <c r="AE255" s="10">
        <v>4</v>
      </c>
      <c r="AF255" s="10">
        <v>4</v>
      </c>
      <c r="AG255" s="10">
        <v>3.5</v>
      </c>
      <c r="AH255" s="10">
        <v>4</v>
      </c>
      <c r="AI255" s="10">
        <v>4</v>
      </c>
      <c r="AJ255" s="10">
        <v>3.75</v>
      </c>
      <c r="AK255" s="10">
        <v>4</v>
      </c>
      <c r="AL255" s="10">
        <v>5</v>
      </c>
      <c r="AM255" s="10">
        <v>5</v>
      </c>
      <c r="AN255" s="10">
        <v>4.666666666666667</v>
      </c>
      <c r="AO255" s="10">
        <v>3.5</v>
      </c>
      <c r="AP255" s="10">
        <v>3</v>
      </c>
      <c r="AQ255" s="12">
        <v>3</v>
      </c>
      <c r="AR255" s="12">
        <v>3</v>
      </c>
      <c r="AS255" s="12">
        <v>3</v>
      </c>
      <c r="AT255" s="12">
        <v>2</v>
      </c>
      <c r="AU255" s="12">
        <v>2.5</v>
      </c>
      <c r="AV255" s="12">
        <v>2.7</v>
      </c>
      <c r="AW255" s="12">
        <v>2</v>
      </c>
      <c r="AX255" s="12">
        <v>1</v>
      </c>
      <c r="AY255" s="12">
        <v>3</v>
      </c>
      <c r="AZ255" s="12">
        <v>3</v>
      </c>
      <c r="BA255" s="12">
        <v>2</v>
      </c>
      <c r="BB255" s="13">
        <v>98.5</v>
      </c>
      <c r="BC255" s="13">
        <v>1196.9000000000001</v>
      </c>
      <c r="BD255" s="13">
        <v>288.39999999999998</v>
      </c>
      <c r="BE255" s="13">
        <v>0.32</v>
      </c>
      <c r="BF255" s="13" t="s">
        <v>207</v>
      </c>
      <c r="BG255" s="13" t="s">
        <v>324</v>
      </c>
      <c r="BJ255" s="14" t="s">
        <v>347</v>
      </c>
      <c r="BK255" s="14" t="s">
        <v>361</v>
      </c>
      <c r="BL255" s="14" t="s">
        <v>360</v>
      </c>
      <c r="BQ255" s="14">
        <v>0</v>
      </c>
      <c r="BR255" s="14">
        <v>0</v>
      </c>
      <c r="BS255" s="14">
        <v>50</v>
      </c>
      <c r="BT255" s="14">
        <v>50</v>
      </c>
      <c r="BW255" s="14">
        <v>25</v>
      </c>
      <c r="BX255" s="9">
        <f t="shared" si="45"/>
        <v>4</v>
      </c>
      <c r="BY255" s="9">
        <f t="shared" si="46"/>
        <v>3</v>
      </c>
      <c r="BZ255" s="9">
        <f t="shared" si="47"/>
        <v>3</v>
      </c>
      <c r="CA255" s="9">
        <f t="shared" si="48"/>
        <v>4</v>
      </c>
      <c r="CB255" s="9">
        <f t="shared" si="49"/>
        <v>3.5</v>
      </c>
      <c r="CC255" s="9">
        <f t="shared" si="50"/>
        <v>3</v>
      </c>
      <c r="CD255" s="9">
        <f t="shared" si="51"/>
        <v>3</v>
      </c>
      <c r="CE255" s="21">
        <f t="shared" si="52"/>
        <v>4.75</v>
      </c>
      <c r="CF255" s="21">
        <f t="shared" si="53"/>
        <v>3.75</v>
      </c>
      <c r="CG255" s="21">
        <f t="shared" si="54"/>
        <v>3.1666666666666665</v>
      </c>
      <c r="CH255" s="21">
        <f t="shared" si="55"/>
        <v>4.666666666666667</v>
      </c>
      <c r="CI255" s="21">
        <f t="shared" si="56"/>
        <v>3</v>
      </c>
      <c r="CJ255" s="21">
        <f t="shared" si="57"/>
        <v>3.8666666666666663</v>
      </c>
    </row>
    <row r="256" spans="1:88">
      <c r="A256" s="9">
        <v>256</v>
      </c>
      <c r="B256" s="9" t="s">
        <v>114</v>
      </c>
      <c r="C256" s="9" t="s">
        <v>98</v>
      </c>
      <c r="D256" s="9" t="s">
        <v>73</v>
      </c>
      <c r="E256" s="9" t="s">
        <v>63</v>
      </c>
      <c r="F256" s="9" t="s">
        <v>78</v>
      </c>
      <c r="H256" s="9" t="s">
        <v>69</v>
      </c>
      <c r="I256" s="9" t="s">
        <v>87</v>
      </c>
      <c r="K256" s="9" t="s">
        <v>92</v>
      </c>
      <c r="O256" s="9" t="s">
        <v>70</v>
      </c>
      <c r="P256" s="10">
        <v>5</v>
      </c>
      <c r="Q256" s="10">
        <v>5</v>
      </c>
      <c r="R256" s="10">
        <v>4</v>
      </c>
      <c r="S256" s="10">
        <v>4.5</v>
      </c>
      <c r="T256" s="10">
        <v>4.5</v>
      </c>
      <c r="U256" s="10">
        <v>3</v>
      </c>
      <c r="V256" s="10">
        <v>4.333333333333333</v>
      </c>
      <c r="W256" s="11">
        <v>4</v>
      </c>
      <c r="X256" s="11">
        <v>4</v>
      </c>
      <c r="Y256" s="11">
        <v>4</v>
      </c>
      <c r="Z256" s="11">
        <v>3</v>
      </c>
      <c r="AA256" s="11">
        <v>4</v>
      </c>
      <c r="AB256" s="11">
        <v>4</v>
      </c>
      <c r="AC256" s="11">
        <v>3.8333333333333335</v>
      </c>
      <c r="AD256" s="10">
        <v>3</v>
      </c>
      <c r="AE256" s="10">
        <v>3</v>
      </c>
      <c r="AF256" s="10">
        <v>4</v>
      </c>
      <c r="AG256" s="10">
        <v>3.5</v>
      </c>
      <c r="AH256" s="10">
        <v>4</v>
      </c>
      <c r="AI256" s="10">
        <v>4</v>
      </c>
      <c r="AJ256" s="10">
        <v>3.5833333333333335</v>
      </c>
      <c r="AK256" s="10">
        <v>5</v>
      </c>
      <c r="AL256" s="10">
        <v>5</v>
      </c>
      <c r="AM256" s="10"/>
      <c r="AN256" s="10">
        <v>5</v>
      </c>
      <c r="AO256" s="10">
        <v>3</v>
      </c>
      <c r="AP256" s="10">
        <v>2.75</v>
      </c>
      <c r="AQ256" s="12">
        <v>3</v>
      </c>
      <c r="AR256" s="12">
        <v>2</v>
      </c>
      <c r="AS256" s="12">
        <v>3</v>
      </c>
      <c r="AT256" s="12">
        <v>3</v>
      </c>
      <c r="AU256" s="12">
        <v>2</v>
      </c>
      <c r="AV256" s="12">
        <v>2.6</v>
      </c>
      <c r="AW256" s="12">
        <v>3</v>
      </c>
      <c r="AX256" s="12">
        <v>1</v>
      </c>
      <c r="AY256" s="12">
        <v>1</v>
      </c>
      <c r="AZ256" s="12">
        <v>3</v>
      </c>
      <c r="BA256" s="12">
        <v>2</v>
      </c>
      <c r="BB256" s="13">
        <v>622.29999999999995</v>
      </c>
      <c r="BC256" s="13">
        <v>841</v>
      </c>
      <c r="BD256" s="13">
        <v>218.7</v>
      </c>
      <c r="BE256" s="13">
        <v>0.35</v>
      </c>
      <c r="BF256" s="13" t="s">
        <v>235</v>
      </c>
      <c r="BG256" s="13" t="s">
        <v>324</v>
      </c>
      <c r="BJ256" s="14" t="s">
        <v>365</v>
      </c>
      <c r="BK256" s="14" t="s">
        <v>338</v>
      </c>
      <c r="BL256" s="14" t="s">
        <v>340</v>
      </c>
      <c r="BM256" s="14" t="s">
        <v>340</v>
      </c>
      <c r="BN256" s="14" t="s">
        <v>363</v>
      </c>
      <c r="BQ256" s="14">
        <v>55</v>
      </c>
      <c r="BR256" s="14">
        <v>65</v>
      </c>
      <c r="BS256" s="14">
        <v>70</v>
      </c>
      <c r="BT256" s="14">
        <v>70</v>
      </c>
      <c r="BW256" s="14">
        <v>65</v>
      </c>
      <c r="BX256" s="9">
        <f t="shared" si="45"/>
        <v>3</v>
      </c>
      <c r="BY256" s="9">
        <f t="shared" si="46"/>
        <v>3</v>
      </c>
      <c r="BZ256" s="9">
        <f t="shared" si="47"/>
        <v>3</v>
      </c>
      <c r="CA256" s="9">
        <f t="shared" si="48"/>
        <v>5</v>
      </c>
      <c r="CB256" s="9">
        <f t="shared" si="49"/>
        <v>3</v>
      </c>
      <c r="CC256" s="9">
        <f t="shared" si="50"/>
        <v>2.75</v>
      </c>
      <c r="CD256" s="9">
        <f t="shared" si="51"/>
        <v>2.75</v>
      </c>
      <c r="CE256" s="21">
        <f t="shared" si="52"/>
        <v>3.8333333333333335</v>
      </c>
      <c r="CF256" s="21">
        <f t="shared" si="53"/>
        <v>3.5833333333333335</v>
      </c>
      <c r="CG256" s="21">
        <f t="shared" si="54"/>
        <v>4.333333333333333</v>
      </c>
      <c r="CH256" s="21">
        <f t="shared" si="55"/>
        <v>5</v>
      </c>
      <c r="CI256" s="21">
        <f t="shared" si="56"/>
        <v>2.75</v>
      </c>
      <c r="CJ256" s="21">
        <f t="shared" si="57"/>
        <v>3.9</v>
      </c>
    </row>
    <row r="257" spans="1:88">
      <c r="A257" s="9">
        <v>257</v>
      </c>
      <c r="B257" s="9" t="s">
        <v>80</v>
      </c>
      <c r="C257" s="9" t="s">
        <v>236</v>
      </c>
      <c r="D257" s="9" t="s">
        <v>82</v>
      </c>
      <c r="E257" s="9" t="s">
        <v>78</v>
      </c>
      <c r="F257" s="9" t="s">
        <v>78</v>
      </c>
      <c r="H257" s="9" t="s">
        <v>65</v>
      </c>
      <c r="I257" s="9" t="s">
        <v>87</v>
      </c>
      <c r="J257" s="9" t="s">
        <v>69</v>
      </c>
      <c r="K257" s="9" t="s">
        <v>323</v>
      </c>
      <c r="O257" s="9" t="s">
        <v>70</v>
      </c>
      <c r="P257" s="10">
        <v>3</v>
      </c>
      <c r="Q257" s="10">
        <v>2</v>
      </c>
      <c r="R257" s="10">
        <v>3</v>
      </c>
      <c r="S257" s="10">
        <v>2.5</v>
      </c>
      <c r="T257" s="10">
        <v>3</v>
      </c>
      <c r="U257" s="10">
        <v>3</v>
      </c>
      <c r="V257" s="10">
        <v>2.75</v>
      </c>
      <c r="W257" s="11">
        <v>4</v>
      </c>
      <c r="X257" s="11">
        <v>5</v>
      </c>
      <c r="Y257" s="11">
        <v>5</v>
      </c>
      <c r="Z257" s="11">
        <v>4.5</v>
      </c>
      <c r="AA257" s="11">
        <v>5</v>
      </c>
      <c r="AB257" s="11">
        <v>5</v>
      </c>
      <c r="AC257" s="11">
        <v>4.75</v>
      </c>
      <c r="AD257" s="10">
        <v>4</v>
      </c>
      <c r="AE257" s="10">
        <v>4</v>
      </c>
      <c r="AF257" s="10">
        <v>4</v>
      </c>
      <c r="AG257" s="10">
        <v>4.5</v>
      </c>
      <c r="AH257" s="10">
        <v>4</v>
      </c>
      <c r="AI257" s="10">
        <v>5</v>
      </c>
      <c r="AJ257" s="10">
        <v>4.25</v>
      </c>
      <c r="AK257" s="10">
        <v>5</v>
      </c>
      <c r="AL257" s="10">
        <v>5</v>
      </c>
      <c r="AM257" s="10">
        <v>5</v>
      </c>
      <c r="AN257" s="10">
        <v>5</v>
      </c>
      <c r="AO257" s="10">
        <v>5</v>
      </c>
      <c r="AP257" s="10">
        <v>4.333333333333333</v>
      </c>
      <c r="AQ257" s="12">
        <v>3</v>
      </c>
      <c r="AR257" s="12">
        <v>3</v>
      </c>
      <c r="AS257" s="12">
        <v>3</v>
      </c>
      <c r="AT257" s="12">
        <v>3</v>
      </c>
      <c r="AU257" s="12">
        <v>2</v>
      </c>
      <c r="AV257" s="12">
        <v>2.8</v>
      </c>
      <c r="AW257" s="12">
        <v>1</v>
      </c>
      <c r="AX257" s="12">
        <v>3</v>
      </c>
      <c r="AY257" s="12">
        <v>3</v>
      </c>
      <c r="AZ257" s="12">
        <v>1</v>
      </c>
      <c r="BA257" s="12">
        <v>1</v>
      </c>
      <c r="BB257" s="13">
        <v>74.599999999999994</v>
      </c>
      <c r="BC257" s="13">
        <v>952.7</v>
      </c>
      <c r="BD257" s="13">
        <v>212.1</v>
      </c>
      <c r="BE257" s="13">
        <v>0.28999999999999998</v>
      </c>
      <c r="BF257" s="13" t="s">
        <v>221</v>
      </c>
      <c r="BG257" s="13" t="s">
        <v>326</v>
      </c>
      <c r="BJ257" s="14" t="s">
        <v>341</v>
      </c>
      <c r="BK257" s="14" t="s">
        <v>347</v>
      </c>
      <c r="BL257" s="14" t="s">
        <v>366</v>
      </c>
      <c r="BM257" s="14" t="s">
        <v>342</v>
      </c>
      <c r="BQ257" s="14">
        <v>60</v>
      </c>
      <c r="BR257" s="14">
        <v>60</v>
      </c>
      <c r="BS257" s="14">
        <v>65</v>
      </c>
      <c r="BT257" s="14">
        <v>65</v>
      </c>
      <c r="BW257" s="14">
        <v>62.5</v>
      </c>
      <c r="BX257" s="9">
        <f t="shared" si="45"/>
        <v>4</v>
      </c>
      <c r="BY257" s="9">
        <f t="shared" si="46"/>
        <v>4</v>
      </c>
      <c r="BZ257" s="9">
        <f t="shared" si="47"/>
        <v>2</v>
      </c>
      <c r="CA257" s="9">
        <f t="shared" si="48"/>
        <v>5</v>
      </c>
      <c r="CB257" s="9">
        <f t="shared" si="49"/>
        <v>5</v>
      </c>
      <c r="CC257" s="9">
        <f t="shared" si="50"/>
        <v>4.333333333333333</v>
      </c>
      <c r="CD257" s="9">
        <f t="shared" si="51"/>
        <v>2</v>
      </c>
      <c r="CE257" s="21">
        <f t="shared" si="52"/>
        <v>4.75</v>
      </c>
      <c r="CF257" s="21">
        <f t="shared" si="53"/>
        <v>4.25</v>
      </c>
      <c r="CG257" s="21">
        <f t="shared" si="54"/>
        <v>2.75</v>
      </c>
      <c r="CH257" s="21">
        <f t="shared" si="55"/>
        <v>5</v>
      </c>
      <c r="CI257" s="21">
        <f t="shared" si="56"/>
        <v>4.333333333333333</v>
      </c>
      <c r="CJ257" s="21">
        <f t="shared" si="57"/>
        <v>4.2166666666666668</v>
      </c>
    </row>
    <row r="258" spans="1:88">
      <c r="A258" s="9">
        <v>258</v>
      </c>
      <c r="B258" s="9" t="s">
        <v>80</v>
      </c>
      <c r="C258" s="9" t="s">
        <v>237</v>
      </c>
      <c r="D258" s="9" t="s">
        <v>75</v>
      </c>
      <c r="E258" s="9" t="s">
        <v>78</v>
      </c>
      <c r="F258" s="9" t="s">
        <v>78</v>
      </c>
      <c r="H258" s="9" t="s">
        <v>69</v>
      </c>
      <c r="I258" s="9" t="s">
        <v>87</v>
      </c>
      <c r="J258" s="9" t="s">
        <v>65</v>
      </c>
      <c r="K258" s="9" t="s">
        <v>323</v>
      </c>
      <c r="N258" s="9" t="s">
        <v>70</v>
      </c>
      <c r="O258" s="9" t="s">
        <v>70</v>
      </c>
      <c r="P258" s="10">
        <v>3.5</v>
      </c>
      <c r="Q258" s="10">
        <v>4</v>
      </c>
      <c r="R258" s="10">
        <v>3</v>
      </c>
      <c r="S258" s="10">
        <v>4</v>
      </c>
      <c r="T258" s="10">
        <v>3</v>
      </c>
      <c r="U258" s="10">
        <v>3</v>
      </c>
      <c r="V258" s="10">
        <v>3.4166666666666665</v>
      </c>
      <c r="W258" s="11">
        <v>4.5</v>
      </c>
      <c r="X258" s="11">
        <v>5</v>
      </c>
      <c r="Y258" s="11">
        <v>5</v>
      </c>
      <c r="Z258" s="11">
        <v>4.5</v>
      </c>
      <c r="AA258" s="11">
        <v>5</v>
      </c>
      <c r="AB258" s="11">
        <v>5</v>
      </c>
      <c r="AC258" s="11">
        <v>4.833333333333333</v>
      </c>
      <c r="AD258" s="10">
        <v>4</v>
      </c>
      <c r="AE258" s="10">
        <v>4</v>
      </c>
      <c r="AF258" s="10"/>
      <c r="AG258" s="10">
        <v>4</v>
      </c>
      <c r="AH258" s="10">
        <v>4</v>
      </c>
      <c r="AI258" s="10"/>
      <c r="AJ258" s="10">
        <v>2.6666666666666665</v>
      </c>
      <c r="AK258" s="10">
        <v>5</v>
      </c>
      <c r="AL258" s="10">
        <v>5</v>
      </c>
      <c r="AM258" s="10">
        <v>5</v>
      </c>
      <c r="AN258" s="10">
        <v>5</v>
      </c>
      <c r="AO258" s="10">
        <v>4</v>
      </c>
      <c r="AP258" s="10">
        <v>4.25</v>
      </c>
      <c r="AQ258" s="12">
        <v>3</v>
      </c>
      <c r="AR258" s="12">
        <v>2</v>
      </c>
      <c r="AS258" s="12">
        <v>2</v>
      </c>
      <c r="AT258" s="12">
        <v>2</v>
      </c>
      <c r="AU258" s="12">
        <v>2</v>
      </c>
      <c r="AV258" s="12">
        <v>2.2000000000000002</v>
      </c>
      <c r="AW258" s="12">
        <v>1</v>
      </c>
      <c r="AX258" s="12">
        <v>1</v>
      </c>
      <c r="AY258" s="12">
        <v>3</v>
      </c>
      <c r="AZ258" s="12">
        <v>3</v>
      </c>
      <c r="BA258" s="12">
        <v>2</v>
      </c>
      <c r="BB258" s="13">
        <v>64.900000000000006</v>
      </c>
      <c r="BC258" s="13">
        <v>887.2</v>
      </c>
      <c r="BD258" s="13">
        <v>246.3</v>
      </c>
      <c r="BE258" s="13">
        <v>0.38</v>
      </c>
      <c r="BF258" s="13" t="s">
        <v>221</v>
      </c>
      <c r="BG258" s="13" t="s">
        <v>326</v>
      </c>
      <c r="BQ258" s="14">
        <v>55</v>
      </c>
      <c r="BR258" s="14">
        <v>70</v>
      </c>
      <c r="BS258" s="14">
        <v>75</v>
      </c>
      <c r="BT258" s="14">
        <v>75</v>
      </c>
      <c r="BW258" s="14">
        <v>68.75</v>
      </c>
      <c r="BX258" s="9">
        <f t="shared" ref="BX258:BX268" si="58">_xlfn.MINIFS(W258:AB258, W258:AB258, "&gt;0")</f>
        <v>4.5</v>
      </c>
      <c r="BY258" s="9">
        <f t="shared" ref="BY258:BY268" si="59">_xlfn.MINIFS(AD258:AJ258, AD258:AJ258, "&gt;0")</f>
        <v>2.6666666666666665</v>
      </c>
      <c r="BZ258" s="9">
        <f t="shared" ref="BZ258:BZ268" si="60">_xlfn.MINIFS(P258:U258, P258:U258, "&gt;0")</f>
        <v>3</v>
      </c>
      <c r="CA258" s="9">
        <f t="shared" ref="CA258:CA268" si="61">_xlfn.MINIFS(AK258:AM258, AK258:AM258, "&gt;0")</f>
        <v>5</v>
      </c>
      <c r="CB258" s="9">
        <f t="shared" ref="CB258:CB268" si="62">_xlfn.MINIFS(AO258, AO258, "&gt;0")</f>
        <v>4</v>
      </c>
      <c r="CC258" s="9">
        <f t="shared" ref="CC258:CC268" si="63">_xlfn.MINIFS(AP258, AP258, "&gt;0")</f>
        <v>4.25</v>
      </c>
      <c r="CD258" s="9">
        <f t="shared" ref="CD258:CD268" si="64">MIN(BX258:CC258)</f>
        <v>2.6666666666666665</v>
      </c>
      <c r="CE258" s="21">
        <f t="shared" ref="CE258:CE268" si="65">AC258</f>
        <v>4.833333333333333</v>
      </c>
      <c r="CF258" s="21">
        <f t="shared" ref="CF258:CF268" si="66">AJ258</f>
        <v>2.6666666666666665</v>
      </c>
      <c r="CG258" s="21">
        <f t="shared" ref="CG258:CG268" si="67">V258</f>
        <v>3.4166666666666665</v>
      </c>
      <c r="CH258" s="21">
        <f t="shared" ref="CH258:CH268" si="68">AN258</f>
        <v>5</v>
      </c>
      <c r="CI258" s="21">
        <f t="shared" ref="CI258:CI268" si="69">AP258</f>
        <v>4.25</v>
      </c>
      <c r="CJ258" s="21">
        <f t="shared" ref="CJ258:CJ268" si="70">AVERAGE(CE258:CI258)</f>
        <v>4.0333333333333332</v>
      </c>
    </row>
    <row r="259" spans="1:88">
      <c r="A259" s="9">
        <v>259</v>
      </c>
      <c r="B259" s="9" t="s">
        <v>114</v>
      </c>
      <c r="C259" s="9" t="s">
        <v>134</v>
      </c>
      <c r="D259" s="9" t="s">
        <v>238</v>
      </c>
      <c r="E259" s="9" t="s">
        <v>63</v>
      </c>
      <c r="F259" s="9" t="s">
        <v>78</v>
      </c>
      <c r="H259" s="9" t="s">
        <v>65</v>
      </c>
      <c r="I259" s="9" t="s">
        <v>87</v>
      </c>
      <c r="K259" s="9" t="s">
        <v>322</v>
      </c>
      <c r="N259" s="9" t="s">
        <v>70</v>
      </c>
      <c r="O259" s="9" t="s">
        <v>70</v>
      </c>
      <c r="P259" s="10">
        <v>3.5</v>
      </c>
      <c r="Q259" s="10">
        <v>4</v>
      </c>
      <c r="R259" s="10">
        <v>3</v>
      </c>
      <c r="S259" s="10">
        <v>4</v>
      </c>
      <c r="T259" s="10">
        <v>3</v>
      </c>
      <c r="U259" s="10">
        <v>4</v>
      </c>
      <c r="V259" s="10">
        <v>3.5833333333333335</v>
      </c>
      <c r="W259" s="11">
        <v>4</v>
      </c>
      <c r="X259" s="11">
        <v>4</v>
      </c>
      <c r="Y259" s="11">
        <v>4</v>
      </c>
      <c r="Z259" s="11">
        <v>4</v>
      </c>
      <c r="AA259" s="11">
        <v>3.5</v>
      </c>
      <c r="AB259" s="11">
        <v>3</v>
      </c>
      <c r="AC259" s="11">
        <v>3.75</v>
      </c>
      <c r="AD259" s="10">
        <v>1</v>
      </c>
      <c r="AE259" s="10">
        <v>1</v>
      </c>
      <c r="AF259" s="10">
        <v>3</v>
      </c>
      <c r="AG259" s="10">
        <v>3</v>
      </c>
      <c r="AH259" s="10">
        <v>2.5</v>
      </c>
      <c r="AI259" s="10">
        <v>3</v>
      </c>
      <c r="AJ259" s="10">
        <v>2.25</v>
      </c>
      <c r="AK259" s="10">
        <v>5</v>
      </c>
      <c r="AL259" s="10">
        <v>5</v>
      </c>
      <c r="AM259" s="10"/>
      <c r="AN259" s="10">
        <v>5</v>
      </c>
      <c r="AO259" s="10">
        <v>5</v>
      </c>
      <c r="AP259" s="10">
        <v>3.5</v>
      </c>
      <c r="AQ259" s="12">
        <v>3</v>
      </c>
      <c r="AR259" s="12">
        <v>1</v>
      </c>
      <c r="AS259" s="12">
        <v>2</v>
      </c>
      <c r="AT259" s="12">
        <v>1</v>
      </c>
      <c r="AU259" s="12">
        <v>2.5</v>
      </c>
      <c r="AV259" s="12">
        <v>1.9</v>
      </c>
      <c r="AW259" s="12">
        <v>3</v>
      </c>
      <c r="AX259" s="12">
        <v>3</v>
      </c>
      <c r="AY259" s="12">
        <v>1</v>
      </c>
      <c r="AZ259" s="12">
        <v>2</v>
      </c>
      <c r="BA259" s="12">
        <v>1</v>
      </c>
      <c r="BB259" s="13">
        <v>536.70000000000005</v>
      </c>
      <c r="BC259" s="13">
        <v>656.7</v>
      </c>
      <c r="BD259" s="13">
        <v>12</v>
      </c>
      <c r="BE259" s="13">
        <v>0.22</v>
      </c>
      <c r="BF259" s="13" t="s">
        <v>209</v>
      </c>
      <c r="BG259" s="13" t="s">
        <v>326</v>
      </c>
      <c r="BJ259" s="14" t="s">
        <v>348</v>
      </c>
      <c r="BK259" s="14" t="s">
        <v>366</v>
      </c>
      <c r="BL259" s="14" t="s">
        <v>342</v>
      </c>
      <c r="BM259" s="14" t="s">
        <v>367</v>
      </c>
      <c r="BQ259" s="14">
        <v>50</v>
      </c>
      <c r="BR259" s="14">
        <v>50</v>
      </c>
      <c r="BS259" s="14">
        <v>55</v>
      </c>
      <c r="BT259" s="14">
        <v>55</v>
      </c>
      <c r="BW259" s="14">
        <v>52.5</v>
      </c>
      <c r="BX259" s="9">
        <f t="shared" si="58"/>
        <v>3</v>
      </c>
      <c r="BY259" s="9">
        <f t="shared" si="59"/>
        <v>1</v>
      </c>
      <c r="BZ259" s="9">
        <f t="shared" si="60"/>
        <v>3</v>
      </c>
      <c r="CA259" s="9">
        <f t="shared" si="61"/>
        <v>5</v>
      </c>
      <c r="CB259" s="9">
        <f t="shared" si="62"/>
        <v>5</v>
      </c>
      <c r="CC259" s="9">
        <f t="shared" si="63"/>
        <v>3.5</v>
      </c>
      <c r="CD259" s="9">
        <f t="shared" si="64"/>
        <v>1</v>
      </c>
      <c r="CE259" s="21">
        <f t="shared" si="65"/>
        <v>3.75</v>
      </c>
      <c r="CF259" s="21">
        <f t="shared" si="66"/>
        <v>2.25</v>
      </c>
      <c r="CG259" s="21">
        <f t="shared" si="67"/>
        <v>3.5833333333333335</v>
      </c>
      <c r="CH259" s="21">
        <f t="shared" si="68"/>
        <v>5</v>
      </c>
      <c r="CI259" s="21">
        <f t="shared" si="69"/>
        <v>3.5</v>
      </c>
      <c r="CJ259" s="21">
        <f t="shared" si="70"/>
        <v>3.6166666666666671</v>
      </c>
    </row>
    <row r="260" spans="1:88">
      <c r="A260" s="9">
        <v>260</v>
      </c>
      <c r="B260" s="9" t="s">
        <v>114</v>
      </c>
      <c r="C260" s="9" t="s">
        <v>186</v>
      </c>
      <c r="D260" s="9" t="s">
        <v>75</v>
      </c>
      <c r="E260" s="9" t="s">
        <v>78</v>
      </c>
      <c r="H260" s="9" t="s">
        <v>65</v>
      </c>
      <c r="I260" s="9" t="s">
        <v>87</v>
      </c>
      <c r="J260" s="9" t="s">
        <v>65</v>
      </c>
      <c r="K260" s="9" t="s">
        <v>323</v>
      </c>
      <c r="P260" s="10">
        <v>3</v>
      </c>
      <c r="Q260" s="10">
        <v>4</v>
      </c>
      <c r="R260" s="10">
        <v>3</v>
      </c>
      <c r="S260" s="10">
        <v>4</v>
      </c>
      <c r="T260" s="10">
        <v>3</v>
      </c>
      <c r="U260" s="10">
        <v>3</v>
      </c>
      <c r="V260" s="10">
        <v>3.3333333333333335</v>
      </c>
      <c r="W260" s="11">
        <v>3</v>
      </c>
      <c r="X260" s="11">
        <v>3</v>
      </c>
      <c r="Y260" s="11">
        <v>3</v>
      </c>
      <c r="Z260" s="11">
        <v>3.5</v>
      </c>
      <c r="AA260" s="11">
        <v>3.5</v>
      </c>
      <c r="AB260" s="11">
        <v>3</v>
      </c>
      <c r="AC260" s="11">
        <v>3.1666666666666665</v>
      </c>
      <c r="AD260" s="10">
        <v>1</v>
      </c>
      <c r="AE260" s="10">
        <v>1</v>
      </c>
      <c r="AF260" s="10">
        <v>1</v>
      </c>
      <c r="AG260" s="10">
        <v>3</v>
      </c>
      <c r="AH260" s="10">
        <v>2.5</v>
      </c>
      <c r="AI260" s="10">
        <v>1</v>
      </c>
      <c r="AJ260" s="10">
        <v>1.5833333333333333</v>
      </c>
      <c r="AK260" s="10">
        <v>5</v>
      </c>
      <c r="AL260" s="10">
        <v>5</v>
      </c>
      <c r="AM260" s="10">
        <v>5</v>
      </c>
      <c r="AN260" s="10">
        <v>5</v>
      </c>
      <c r="AO260" s="10">
        <v>4.5</v>
      </c>
      <c r="AP260" s="10">
        <v>3.5</v>
      </c>
      <c r="AQ260" s="12">
        <v>1</v>
      </c>
      <c r="AR260" s="12">
        <v>2</v>
      </c>
      <c r="AS260" s="12">
        <v>3</v>
      </c>
      <c r="AT260" s="12">
        <v>1</v>
      </c>
      <c r="AU260" s="12">
        <v>1</v>
      </c>
      <c r="AV260" s="12">
        <v>1.6</v>
      </c>
      <c r="AW260" s="12">
        <v>3</v>
      </c>
      <c r="AX260" s="12">
        <v>1</v>
      </c>
      <c r="AY260" s="12">
        <v>3</v>
      </c>
      <c r="AZ260" s="12">
        <v>1</v>
      </c>
      <c r="BA260" s="12">
        <v>3</v>
      </c>
      <c r="BB260" s="13">
        <v>595.70000000000005</v>
      </c>
      <c r="BC260" s="13">
        <v>895.1</v>
      </c>
      <c r="BD260" s="13">
        <v>299.39999999999998</v>
      </c>
      <c r="BE260" s="13">
        <v>0.5</v>
      </c>
      <c r="BF260" s="13" t="s">
        <v>207</v>
      </c>
      <c r="BG260" s="13" t="s">
        <v>324</v>
      </c>
      <c r="BJ260" s="14" t="s">
        <v>342</v>
      </c>
      <c r="BK260" s="14" t="s">
        <v>342</v>
      </c>
      <c r="BL260" s="14" t="s">
        <v>342</v>
      </c>
      <c r="BM260" s="14" t="s">
        <v>342</v>
      </c>
      <c r="BN260" s="14" t="s">
        <v>354</v>
      </c>
      <c r="BO260" s="14" t="s">
        <v>363</v>
      </c>
      <c r="BQ260" s="14">
        <v>0</v>
      </c>
      <c r="BR260" s="14">
        <v>0</v>
      </c>
      <c r="BS260" s="14">
        <v>50</v>
      </c>
      <c r="BT260" s="14">
        <v>50</v>
      </c>
      <c r="BW260" s="14">
        <v>25</v>
      </c>
      <c r="BX260" s="9">
        <f t="shared" si="58"/>
        <v>3</v>
      </c>
      <c r="BY260" s="9">
        <f t="shared" si="59"/>
        <v>1</v>
      </c>
      <c r="BZ260" s="9">
        <f t="shared" si="60"/>
        <v>3</v>
      </c>
      <c r="CA260" s="9">
        <f t="shared" si="61"/>
        <v>5</v>
      </c>
      <c r="CB260" s="9">
        <f t="shared" si="62"/>
        <v>4.5</v>
      </c>
      <c r="CC260" s="9">
        <f t="shared" si="63"/>
        <v>3.5</v>
      </c>
      <c r="CD260" s="9">
        <f t="shared" si="64"/>
        <v>1</v>
      </c>
      <c r="CE260" s="21">
        <f t="shared" si="65"/>
        <v>3.1666666666666665</v>
      </c>
      <c r="CF260" s="21">
        <f t="shared" si="66"/>
        <v>1.5833333333333333</v>
      </c>
      <c r="CG260" s="21">
        <f t="shared" si="67"/>
        <v>3.3333333333333335</v>
      </c>
      <c r="CH260" s="21">
        <f t="shared" si="68"/>
        <v>5</v>
      </c>
      <c r="CI260" s="21">
        <f t="shared" si="69"/>
        <v>3.5</v>
      </c>
      <c r="CJ260" s="21">
        <f t="shared" si="70"/>
        <v>3.3166666666666673</v>
      </c>
    </row>
    <row r="261" spans="1:88">
      <c r="A261" s="9">
        <v>261</v>
      </c>
      <c r="B261" s="9" t="s">
        <v>114</v>
      </c>
      <c r="C261" s="9" t="s">
        <v>222</v>
      </c>
      <c r="D261" s="9" t="s">
        <v>96</v>
      </c>
      <c r="E261" s="9" t="s">
        <v>63</v>
      </c>
      <c r="F261" s="9" t="s">
        <v>78</v>
      </c>
      <c r="H261" s="9" t="s">
        <v>65</v>
      </c>
      <c r="I261" s="9" t="s">
        <v>83</v>
      </c>
      <c r="K261" s="9" t="s">
        <v>92</v>
      </c>
      <c r="N261" s="9" t="s">
        <v>70</v>
      </c>
      <c r="P261" s="10">
        <v>3.5</v>
      </c>
      <c r="Q261" s="10">
        <v>1</v>
      </c>
      <c r="R261" s="10">
        <v>3</v>
      </c>
      <c r="S261" s="10">
        <v>3</v>
      </c>
      <c r="T261" s="10">
        <v>4</v>
      </c>
      <c r="U261" s="10">
        <v>2</v>
      </c>
      <c r="V261" s="10">
        <v>2.75</v>
      </c>
      <c r="W261" s="11">
        <v>5</v>
      </c>
      <c r="X261" s="11">
        <v>1</v>
      </c>
      <c r="Y261" s="11">
        <v>5</v>
      </c>
      <c r="Z261" s="11">
        <v>5</v>
      </c>
      <c r="AA261" s="11">
        <v>5</v>
      </c>
      <c r="AB261" s="11">
        <v>5</v>
      </c>
      <c r="AC261" s="11">
        <v>4.333333333333333</v>
      </c>
      <c r="AD261" s="10">
        <v>2</v>
      </c>
      <c r="AE261" s="10">
        <v>5</v>
      </c>
      <c r="AF261" s="10">
        <v>5</v>
      </c>
      <c r="AG261" s="10">
        <v>4.5</v>
      </c>
      <c r="AH261" s="10">
        <v>4.5</v>
      </c>
      <c r="AI261" s="10">
        <v>5</v>
      </c>
      <c r="AJ261" s="10">
        <v>4.333333333333333</v>
      </c>
      <c r="AK261" s="10">
        <v>4</v>
      </c>
      <c r="AL261" s="10">
        <v>5</v>
      </c>
      <c r="AM261" s="10">
        <v>5</v>
      </c>
      <c r="AN261" s="10">
        <v>4.666666666666667</v>
      </c>
      <c r="AO261" s="10">
        <v>2.5</v>
      </c>
      <c r="AP261" s="10">
        <v>4</v>
      </c>
      <c r="AQ261" s="12">
        <v>3</v>
      </c>
      <c r="AR261" s="12">
        <v>3</v>
      </c>
      <c r="AS261" s="12">
        <v>3</v>
      </c>
      <c r="AT261" s="12">
        <v>3</v>
      </c>
      <c r="AU261" s="12">
        <v>3</v>
      </c>
      <c r="AV261" s="12">
        <v>3</v>
      </c>
      <c r="AW261" s="12">
        <v>3</v>
      </c>
      <c r="AX261" s="12">
        <v>3</v>
      </c>
      <c r="AY261" s="12">
        <v>3</v>
      </c>
      <c r="AZ261" s="12">
        <v>3</v>
      </c>
      <c r="BA261" s="12">
        <v>1</v>
      </c>
      <c r="BB261" s="13">
        <v>773.6</v>
      </c>
      <c r="BC261" s="13">
        <v>178.7</v>
      </c>
      <c r="BD261" s="13">
        <v>35.1</v>
      </c>
      <c r="BE261" s="13">
        <v>0.39</v>
      </c>
      <c r="BF261" s="13" t="s">
        <v>207</v>
      </c>
      <c r="BG261" s="13" t="s">
        <v>324</v>
      </c>
      <c r="BQ261" s="14">
        <v>0</v>
      </c>
      <c r="BR261" s="14">
        <v>0</v>
      </c>
      <c r="BS261" s="14">
        <v>0</v>
      </c>
      <c r="BT261" s="14">
        <v>0</v>
      </c>
      <c r="BW261" s="14">
        <v>0</v>
      </c>
      <c r="BX261" s="9">
        <f t="shared" si="58"/>
        <v>1</v>
      </c>
      <c r="BY261" s="9">
        <f t="shared" si="59"/>
        <v>2</v>
      </c>
      <c r="BZ261" s="9">
        <f t="shared" si="60"/>
        <v>1</v>
      </c>
      <c r="CA261" s="9">
        <f t="shared" si="61"/>
        <v>4</v>
      </c>
      <c r="CB261" s="9">
        <f t="shared" si="62"/>
        <v>2.5</v>
      </c>
      <c r="CC261" s="9">
        <f t="shared" si="63"/>
        <v>4</v>
      </c>
      <c r="CD261" s="9">
        <f t="shared" si="64"/>
        <v>1</v>
      </c>
      <c r="CE261" s="21">
        <f t="shared" si="65"/>
        <v>4.333333333333333</v>
      </c>
      <c r="CF261" s="21">
        <f t="shared" si="66"/>
        <v>4.333333333333333</v>
      </c>
      <c r="CG261" s="21">
        <f t="shared" si="67"/>
        <v>2.75</v>
      </c>
      <c r="CH261" s="21">
        <f t="shared" si="68"/>
        <v>4.666666666666667</v>
      </c>
      <c r="CI261" s="21">
        <f t="shared" si="69"/>
        <v>4</v>
      </c>
      <c r="CJ261" s="21">
        <f t="shared" si="70"/>
        <v>4.0166666666666666</v>
      </c>
    </row>
    <row r="262" spans="1:88">
      <c r="A262" s="9">
        <v>262</v>
      </c>
      <c r="B262" s="9" t="s">
        <v>79</v>
      </c>
      <c r="C262" s="9" t="s">
        <v>134</v>
      </c>
      <c r="D262" s="9" t="s">
        <v>77</v>
      </c>
      <c r="E262" s="9" t="s">
        <v>105</v>
      </c>
      <c r="F262" s="9" t="s">
        <v>78</v>
      </c>
      <c r="H262" s="9" t="s">
        <v>65</v>
      </c>
      <c r="I262" s="9" t="s">
        <v>87</v>
      </c>
      <c r="K262" s="9" t="s">
        <v>322</v>
      </c>
      <c r="N262" s="9" t="s">
        <v>70</v>
      </c>
      <c r="P262" s="10">
        <v>4</v>
      </c>
      <c r="Q262" s="10">
        <v>2</v>
      </c>
      <c r="R262" s="10">
        <v>3</v>
      </c>
      <c r="S262" s="10">
        <v>3</v>
      </c>
      <c r="T262" s="10">
        <v>3</v>
      </c>
      <c r="U262" s="10">
        <v>3</v>
      </c>
      <c r="V262" s="10">
        <v>3</v>
      </c>
      <c r="W262" s="11">
        <v>4</v>
      </c>
      <c r="X262" s="11">
        <v>3</v>
      </c>
      <c r="Y262" s="11">
        <v>4</v>
      </c>
      <c r="Z262" s="11">
        <v>3</v>
      </c>
      <c r="AA262" s="11">
        <v>4</v>
      </c>
      <c r="AB262" s="11">
        <v>5</v>
      </c>
      <c r="AC262" s="11">
        <v>3.8333333333333335</v>
      </c>
      <c r="AD262" s="10">
        <v>5</v>
      </c>
      <c r="AE262" s="10">
        <v>5</v>
      </c>
      <c r="AF262" s="10">
        <v>5</v>
      </c>
      <c r="AG262" s="10">
        <v>5</v>
      </c>
      <c r="AH262" s="10">
        <v>5</v>
      </c>
      <c r="AI262" s="10">
        <v>5</v>
      </c>
      <c r="AJ262" s="10">
        <v>5</v>
      </c>
      <c r="AK262" s="10">
        <v>4</v>
      </c>
      <c r="AL262" s="10">
        <v>5</v>
      </c>
      <c r="AM262" s="10">
        <v>5</v>
      </c>
      <c r="AN262" s="10">
        <v>4.666666666666667</v>
      </c>
      <c r="AO262" s="10">
        <v>2</v>
      </c>
      <c r="AP262" s="10">
        <v>4</v>
      </c>
      <c r="AQ262" s="12">
        <v>3</v>
      </c>
      <c r="AR262" s="12">
        <v>3</v>
      </c>
      <c r="AS262" s="12">
        <v>3</v>
      </c>
      <c r="AT262" s="12">
        <v>3</v>
      </c>
      <c r="AU262" s="12">
        <v>3</v>
      </c>
      <c r="AV262" s="12">
        <v>3</v>
      </c>
      <c r="AW262" s="12">
        <v>3</v>
      </c>
      <c r="AX262" s="12">
        <v>3</v>
      </c>
      <c r="AY262" s="12">
        <v>3</v>
      </c>
      <c r="AZ262" s="12">
        <v>3</v>
      </c>
      <c r="BA262" s="12">
        <v>3</v>
      </c>
      <c r="BB262" s="13">
        <v>482.8</v>
      </c>
      <c r="BC262" s="13">
        <v>571.4</v>
      </c>
      <c r="BD262" s="13">
        <v>88.6</v>
      </c>
      <c r="BE262" s="13">
        <v>0.18</v>
      </c>
      <c r="BF262" s="13" t="s">
        <v>220</v>
      </c>
      <c r="BG262" s="13" t="s">
        <v>326</v>
      </c>
      <c r="BJ262" s="14" t="s">
        <v>342</v>
      </c>
      <c r="BK262" s="14" t="s">
        <v>342</v>
      </c>
      <c r="BL262" s="14" t="s">
        <v>348</v>
      </c>
      <c r="BM262" s="14" t="s">
        <v>360</v>
      </c>
      <c r="BQ262" s="14">
        <v>50</v>
      </c>
      <c r="BR262" s="14">
        <v>55</v>
      </c>
      <c r="BS262" s="14">
        <v>65</v>
      </c>
      <c r="BT262" s="14">
        <v>90</v>
      </c>
      <c r="BW262" s="14">
        <v>65</v>
      </c>
      <c r="BX262" s="9">
        <f t="shared" si="58"/>
        <v>3</v>
      </c>
      <c r="BY262" s="9">
        <f t="shared" si="59"/>
        <v>5</v>
      </c>
      <c r="BZ262" s="9">
        <f t="shared" si="60"/>
        <v>2</v>
      </c>
      <c r="CA262" s="9">
        <f t="shared" si="61"/>
        <v>4</v>
      </c>
      <c r="CB262" s="9">
        <f t="shared" si="62"/>
        <v>2</v>
      </c>
      <c r="CC262" s="9">
        <f t="shared" si="63"/>
        <v>4</v>
      </c>
      <c r="CD262" s="9">
        <f t="shared" si="64"/>
        <v>2</v>
      </c>
      <c r="CE262" s="21">
        <f t="shared" si="65"/>
        <v>3.8333333333333335</v>
      </c>
      <c r="CF262" s="21">
        <f t="shared" si="66"/>
        <v>5</v>
      </c>
      <c r="CG262" s="21">
        <f t="shared" si="67"/>
        <v>3</v>
      </c>
      <c r="CH262" s="21">
        <f t="shared" si="68"/>
        <v>4.666666666666667</v>
      </c>
      <c r="CI262" s="21">
        <f t="shared" si="69"/>
        <v>4</v>
      </c>
      <c r="CJ262" s="21">
        <f t="shared" si="70"/>
        <v>4.0999999999999996</v>
      </c>
    </row>
    <row r="263" spans="1:88">
      <c r="A263" s="9">
        <v>263</v>
      </c>
      <c r="B263" s="9" t="s">
        <v>101</v>
      </c>
      <c r="C263" s="9" t="s">
        <v>98</v>
      </c>
      <c r="D263" s="9" t="s">
        <v>201</v>
      </c>
      <c r="E263" s="9" t="s">
        <v>78</v>
      </c>
      <c r="F263" s="9" t="s">
        <v>64</v>
      </c>
      <c r="H263" s="9" t="s">
        <v>65</v>
      </c>
      <c r="I263" s="9" t="s">
        <v>87</v>
      </c>
      <c r="K263" s="9" t="s">
        <v>92</v>
      </c>
      <c r="N263" s="9" t="s">
        <v>70</v>
      </c>
      <c r="O263" s="9" t="s">
        <v>70</v>
      </c>
      <c r="P263" s="10">
        <v>4</v>
      </c>
      <c r="Q263" s="10">
        <v>3</v>
      </c>
      <c r="R263" s="10">
        <v>3</v>
      </c>
      <c r="S263" s="10">
        <v>3</v>
      </c>
      <c r="T263" s="10">
        <v>3</v>
      </c>
      <c r="U263" s="10">
        <v>3</v>
      </c>
      <c r="V263" s="10">
        <v>3.1666666666666665</v>
      </c>
      <c r="W263" s="11">
        <v>4</v>
      </c>
      <c r="X263" s="11">
        <v>3</v>
      </c>
      <c r="Y263" s="11">
        <v>3</v>
      </c>
      <c r="Z263" s="11">
        <v>3</v>
      </c>
      <c r="AA263" s="11">
        <v>3</v>
      </c>
      <c r="AB263" s="11">
        <v>3</v>
      </c>
      <c r="AC263" s="11">
        <v>3.1666666666666665</v>
      </c>
      <c r="AD263" s="10">
        <v>4</v>
      </c>
      <c r="AE263" s="10">
        <v>4</v>
      </c>
      <c r="AF263" s="10">
        <v>4</v>
      </c>
      <c r="AG263" s="10">
        <v>4</v>
      </c>
      <c r="AH263" s="10">
        <v>4</v>
      </c>
      <c r="AI263" s="10">
        <v>4</v>
      </c>
      <c r="AJ263" s="10">
        <v>4</v>
      </c>
      <c r="AK263" s="10">
        <v>4</v>
      </c>
      <c r="AL263" s="10">
        <v>5</v>
      </c>
      <c r="AM263" s="10">
        <v>5</v>
      </c>
      <c r="AN263" s="10">
        <v>4.666666666666667</v>
      </c>
      <c r="AO263" s="10">
        <v>3.5</v>
      </c>
      <c r="AP263" s="10">
        <v>3.25</v>
      </c>
      <c r="AQ263" s="12">
        <v>3</v>
      </c>
      <c r="AR263" s="12">
        <v>3</v>
      </c>
      <c r="AS263" s="12">
        <v>3</v>
      </c>
      <c r="AT263" s="12">
        <v>3</v>
      </c>
      <c r="AU263" s="12">
        <v>3</v>
      </c>
      <c r="AV263" s="12">
        <v>3</v>
      </c>
      <c r="AW263" s="12">
        <v>3</v>
      </c>
      <c r="AX263" s="12">
        <v>2</v>
      </c>
      <c r="AY263" s="12">
        <v>3</v>
      </c>
      <c r="AZ263" s="12">
        <v>3</v>
      </c>
      <c r="BA263" s="12">
        <v>2</v>
      </c>
      <c r="BB263" s="13">
        <v>77.400000000000006</v>
      </c>
      <c r="BC263" s="13">
        <v>97.2</v>
      </c>
      <c r="BD263" s="13">
        <v>199.8</v>
      </c>
      <c r="BE263" s="13">
        <v>0.28000000000000003</v>
      </c>
      <c r="BF263" s="13" t="s">
        <v>217</v>
      </c>
      <c r="BG263" s="13" t="s">
        <v>324</v>
      </c>
      <c r="BJ263" s="14" t="s">
        <v>342</v>
      </c>
      <c r="BK263" s="14" t="s">
        <v>341</v>
      </c>
      <c r="BL263" s="14" t="s">
        <v>368</v>
      </c>
      <c r="BQ263" s="14">
        <v>0</v>
      </c>
      <c r="BR263" s="14">
        <v>50</v>
      </c>
      <c r="BS263" s="14">
        <v>50</v>
      </c>
      <c r="BT263" s="14">
        <v>50</v>
      </c>
      <c r="BW263" s="14">
        <v>37.5</v>
      </c>
      <c r="BX263" s="9">
        <f t="shared" si="58"/>
        <v>3</v>
      </c>
      <c r="BY263" s="9">
        <f t="shared" si="59"/>
        <v>4</v>
      </c>
      <c r="BZ263" s="9">
        <f t="shared" si="60"/>
        <v>3</v>
      </c>
      <c r="CA263" s="9">
        <f t="shared" si="61"/>
        <v>4</v>
      </c>
      <c r="CB263" s="9">
        <f t="shared" si="62"/>
        <v>3.5</v>
      </c>
      <c r="CC263" s="9">
        <f t="shared" si="63"/>
        <v>3.25</v>
      </c>
      <c r="CD263" s="9">
        <f t="shared" si="64"/>
        <v>3</v>
      </c>
      <c r="CE263" s="21">
        <f t="shared" si="65"/>
        <v>3.1666666666666665</v>
      </c>
      <c r="CF263" s="21">
        <f t="shared" si="66"/>
        <v>4</v>
      </c>
      <c r="CG263" s="21">
        <f t="shared" si="67"/>
        <v>3.1666666666666665</v>
      </c>
      <c r="CH263" s="21">
        <f t="shared" si="68"/>
        <v>4.666666666666667</v>
      </c>
      <c r="CI263" s="21">
        <f t="shared" si="69"/>
        <v>3.25</v>
      </c>
      <c r="CJ263" s="21">
        <f t="shared" si="70"/>
        <v>3.65</v>
      </c>
    </row>
    <row r="264" spans="1:88">
      <c r="A264" s="9">
        <v>264</v>
      </c>
      <c r="B264" s="9" t="s">
        <v>218</v>
      </c>
      <c r="C264" s="9" t="s">
        <v>224</v>
      </c>
      <c r="D264" s="9" t="s">
        <v>72</v>
      </c>
      <c r="E264" s="9" t="s">
        <v>78</v>
      </c>
      <c r="H264" s="9" t="s">
        <v>69</v>
      </c>
      <c r="I264" s="9" t="s">
        <v>83</v>
      </c>
      <c r="J264" s="9" t="s">
        <v>69</v>
      </c>
      <c r="K264" s="9" t="s">
        <v>323</v>
      </c>
      <c r="N264" s="9" t="s">
        <v>70</v>
      </c>
      <c r="O264" s="9" t="s">
        <v>70</v>
      </c>
      <c r="P264" s="10">
        <v>4</v>
      </c>
      <c r="Q264" s="10">
        <v>5</v>
      </c>
      <c r="R264" s="10">
        <v>4</v>
      </c>
      <c r="S264" s="10">
        <v>4.5</v>
      </c>
      <c r="T264" s="10">
        <v>4.5</v>
      </c>
      <c r="U264" s="10">
        <v>3</v>
      </c>
      <c r="V264" s="10">
        <v>4.166666666666667</v>
      </c>
      <c r="W264" s="11">
        <v>3.5</v>
      </c>
      <c r="X264" s="11">
        <v>4</v>
      </c>
      <c r="Y264" s="11">
        <v>5</v>
      </c>
      <c r="Z264" s="11">
        <v>4.5</v>
      </c>
      <c r="AA264" s="11">
        <v>4.5</v>
      </c>
      <c r="AB264" s="11">
        <v>4</v>
      </c>
      <c r="AC264" s="11">
        <v>4.25</v>
      </c>
      <c r="AD264" s="10">
        <v>4</v>
      </c>
      <c r="AE264" s="10">
        <v>4</v>
      </c>
      <c r="AF264" s="10">
        <v>5</v>
      </c>
      <c r="AG264" s="10">
        <v>5</v>
      </c>
      <c r="AH264" s="10">
        <v>5</v>
      </c>
      <c r="AI264" s="10">
        <v>4</v>
      </c>
      <c r="AJ264" s="10">
        <v>4.5</v>
      </c>
      <c r="AK264" s="10">
        <v>4</v>
      </c>
      <c r="AL264" s="10">
        <v>5</v>
      </c>
      <c r="AM264" s="10">
        <v>5</v>
      </c>
      <c r="AN264" s="10">
        <v>4.666666666666667</v>
      </c>
      <c r="AO264" s="10">
        <v>2</v>
      </c>
      <c r="AP264" s="10">
        <v>4.75</v>
      </c>
      <c r="AQ264" s="12">
        <v>1</v>
      </c>
      <c r="AR264" s="12">
        <v>1</v>
      </c>
      <c r="AS264" s="12">
        <v>1</v>
      </c>
      <c r="AT264" s="12">
        <v>2</v>
      </c>
      <c r="AU264" s="12">
        <v>1</v>
      </c>
      <c r="AV264" s="12">
        <v>1.2</v>
      </c>
      <c r="AW264" s="12">
        <v>1</v>
      </c>
      <c r="AX264" s="12">
        <v>1</v>
      </c>
      <c r="AY264" s="12">
        <v>1</v>
      </c>
      <c r="AZ264" s="12">
        <v>1</v>
      </c>
      <c r="BA264" s="12">
        <v>1</v>
      </c>
      <c r="BB264" s="13">
        <v>744.5</v>
      </c>
      <c r="BC264" s="13">
        <v>136.1</v>
      </c>
      <c r="BD264" s="13">
        <v>291.60000000000002</v>
      </c>
      <c r="BE264" s="13">
        <v>0.39</v>
      </c>
      <c r="BF264" s="13" t="s">
        <v>225</v>
      </c>
      <c r="BG264" s="13" t="s">
        <v>324</v>
      </c>
      <c r="BQ264" s="14">
        <v>50</v>
      </c>
      <c r="BR264" s="14">
        <v>55</v>
      </c>
      <c r="BS264" s="14">
        <v>55</v>
      </c>
      <c r="BT264" s="14">
        <v>60</v>
      </c>
      <c r="BW264" s="14">
        <v>55</v>
      </c>
      <c r="BX264" s="9">
        <f t="shared" si="58"/>
        <v>3.5</v>
      </c>
      <c r="BY264" s="9">
        <f t="shared" si="59"/>
        <v>4</v>
      </c>
      <c r="BZ264" s="9">
        <f t="shared" si="60"/>
        <v>3</v>
      </c>
      <c r="CA264" s="9">
        <f t="shared" si="61"/>
        <v>4</v>
      </c>
      <c r="CB264" s="9">
        <f t="shared" si="62"/>
        <v>2</v>
      </c>
      <c r="CC264" s="9">
        <f t="shared" si="63"/>
        <v>4.75</v>
      </c>
      <c r="CD264" s="9">
        <f t="shared" si="64"/>
        <v>2</v>
      </c>
      <c r="CE264" s="21">
        <f t="shared" si="65"/>
        <v>4.25</v>
      </c>
      <c r="CF264" s="21">
        <f t="shared" si="66"/>
        <v>4.5</v>
      </c>
      <c r="CG264" s="21">
        <f t="shared" si="67"/>
        <v>4.166666666666667</v>
      </c>
      <c r="CH264" s="21">
        <f t="shared" si="68"/>
        <v>4.666666666666667</v>
      </c>
      <c r="CI264" s="21">
        <f t="shared" si="69"/>
        <v>4.75</v>
      </c>
      <c r="CJ264" s="21">
        <f t="shared" si="70"/>
        <v>4.4666666666666668</v>
      </c>
    </row>
    <row r="265" spans="1:88">
      <c r="A265" s="9">
        <v>265</v>
      </c>
      <c r="B265" s="9" t="s">
        <v>114</v>
      </c>
      <c r="C265" s="9" t="s">
        <v>134</v>
      </c>
      <c r="D265" s="9" t="s">
        <v>86</v>
      </c>
      <c r="E265" s="9" t="s">
        <v>63</v>
      </c>
      <c r="H265" s="9" t="s">
        <v>65</v>
      </c>
      <c r="I265" s="9" t="s">
        <v>87</v>
      </c>
      <c r="K265" s="9" t="s">
        <v>322</v>
      </c>
      <c r="N265" s="9" t="s">
        <v>70</v>
      </c>
      <c r="O265" s="9" t="s">
        <v>70</v>
      </c>
      <c r="P265" s="10">
        <v>3</v>
      </c>
      <c r="Q265" s="10">
        <v>4</v>
      </c>
      <c r="R265" s="10">
        <v>3</v>
      </c>
      <c r="S265" s="10">
        <v>4</v>
      </c>
      <c r="T265" s="10">
        <v>4</v>
      </c>
      <c r="U265" s="10">
        <v>2</v>
      </c>
      <c r="V265" s="10">
        <v>3.3333333333333335</v>
      </c>
      <c r="W265" s="11">
        <v>2.5</v>
      </c>
      <c r="X265" s="11">
        <v>1</v>
      </c>
      <c r="Y265" s="11">
        <v>2</v>
      </c>
      <c r="Z265" s="11">
        <v>2</v>
      </c>
      <c r="AA265" s="11">
        <v>2.5</v>
      </c>
      <c r="AB265" s="11">
        <v>2</v>
      </c>
      <c r="AC265" s="11">
        <v>2</v>
      </c>
      <c r="AD265" s="10">
        <v>2.5</v>
      </c>
      <c r="AE265" s="10">
        <v>1</v>
      </c>
      <c r="AF265" s="10">
        <v>1</v>
      </c>
      <c r="AG265" s="10">
        <v>1.5</v>
      </c>
      <c r="AH265" s="10">
        <v>4</v>
      </c>
      <c r="AI265" s="10">
        <v>2</v>
      </c>
      <c r="AJ265" s="10">
        <v>2</v>
      </c>
      <c r="AK265" s="10">
        <v>1</v>
      </c>
      <c r="AL265" s="10">
        <v>4</v>
      </c>
      <c r="AM265" s="10"/>
      <c r="AN265" s="10">
        <v>2.5</v>
      </c>
      <c r="AO265" s="10">
        <v>3.5</v>
      </c>
      <c r="AP265" s="10">
        <v>2.5</v>
      </c>
      <c r="AQ265" s="12">
        <v>1</v>
      </c>
      <c r="AR265" s="12">
        <v>1</v>
      </c>
      <c r="AS265" s="12">
        <v>1</v>
      </c>
      <c r="AT265" s="12">
        <v>1</v>
      </c>
      <c r="AU265" s="12">
        <v>2</v>
      </c>
      <c r="AV265" s="12">
        <v>1.2</v>
      </c>
      <c r="AW265" s="12">
        <v>2</v>
      </c>
      <c r="AX265" s="12">
        <v>3</v>
      </c>
      <c r="AY265" s="12">
        <v>3</v>
      </c>
      <c r="AZ265" s="12">
        <v>2</v>
      </c>
      <c r="BA265" s="12">
        <v>3</v>
      </c>
      <c r="BB265" s="13">
        <v>56.6</v>
      </c>
      <c r="BC265" s="13">
        <v>745.9</v>
      </c>
      <c r="BD265" s="13">
        <v>239.3</v>
      </c>
      <c r="BE265" s="13">
        <v>0.47</v>
      </c>
      <c r="BF265" s="13" t="s">
        <v>209</v>
      </c>
      <c r="BG265" s="13" t="s">
        <v>326</v>
      </c>
      <c r="BJ265" s="14" t="s">
        <v>358</v>
      </c>
      <c r="BK265" s="14" t="s">
        <v>363</v>
      </c>
      <c r="BL265" s="14" t="s">
        <v>367</v>
      </c>
      <c r="BM265" s="14" t="s">
        <v>353</v>
      </c>
      <c r="BQ265" s="14">
        <v>0</v>
      </c>
      <c r="BR265" s="14">
        <v>0</v>
      </c>
      <c r="BS265" s="14">
        <v>0</v>
      </c>
      <c r="BT265" s="14">
        <v>0</v>
      </c>
      <c r="BW265" s="14">
        <v>0</v>
      </c>
      <c r="BX265" s="9">
        <f t="shared" si="58"/>
        <v>1</v>
      </c>
      <c r="BY265" s="9">
        <f t="shared" si="59"/>
        <v>1</v>
      </c>
      <c r="BZ265" s="9">
        <f t="shared" si="60"/>
        <v>2</v>
      </c>
      <c r="CA265" s="9">
        <f t="shared" si="61"/>
        <v>1</v>
      </c>
      <c r="CB265" s="9">
        <f t="shared" si="62"/>
        <v>3.5</v>
      </c>
      <c r="CC265" s="9">
        <f t="shared" si="63"/>
        <v>2.5</v>
      </c>
      <c r="CD265" s="9">
        <f t="shared" si="64"/>
        <v>1</v>
      </c>
      <c r="CE265" s="21">
        <f t="shared" si="65"/>
        <v>2</v>
      </c>
      <c r="CF265" s="21">
        <f t="shared" si="66"/>
        <v>2</v>
      </c>
      <c r="CG265" s="21">
        <f t="shared" si="67"/>
        <v>3.3333333333333335</v>
      </c>
      <c r="CH265" s="21">
        <f t="shared" si="68"/>
        <v>2.5</v>
      </c>
      <c r="CI265" s="21">
        <f t="shared" si="69"/>
        <v>2.5</v>
      </c>
      <c r="CJ265" s="21">
        <f t="shared" si="70"/>
        <v>2.4666666666666668</v>
      </c>
    </row>
    <row r="266" spans="1:88">
      <c r="A266" s="9">
        <v>266</v>
      </c>
      <c r="B266" s="9" t="s">
        <v>114</v>
      </c>
      <c r="C266" s="9" t="s">
        <v>98</v>
      </c>
      <c r="D266" s="9" t="s">
        <v>72</v>
      </c>
      <c r="E266" s="9" t="s">
        <v>74</v>
      </c>
      <c r="H266" s="9" t="s">
        <v>65</v>
      </c>
      <c r="I266" s="9" t="s">
        <v>87</v>
      </c>
      <c r="J266" s="9" t="s">
        <v>65</v>
      </c>
      <c r="K266" s="9" t="s">
        <v>323</v>
      </c>
      <c r="N266" s="9" t="s">
        <v>70</v>
      </c>
      <c r="P266" s="10">
        <v>3.5</v>
      </c>
      <c r="Q266" s="10">
        <v>4</v>
      </c>
      <c r="R266" s="10">
        <v>4</v>
      </c>
      <c r="S266" s="10">
        <v>4.5</v>
      </c>
      <c r="T266" s="10">
        <v>4</v>
      </c>
      <c r="U266" s="10">
        <v>2</v>
      </c>
      <c r="V266" s="10">
        <v>3.6666666666666665</v>
      </c>
      <c r="W266" s="11">
        <v>3.5</v>
      </c>
      <c r="X266" s="11">
        <v>4</v>
      </c>
      <c r="Y266" s="11">
        <v>4</v>
      </c>
      <c r="Z266" s="11">
        <v>4</v>
      </c>
      <c r="AA266" s="11">
        <v>4</v>
      </c>
      <c r="AB266" s="11">
        <v>2</v>
      </c>
      <c r="AC266" s="11">
        <v>3.5833333333333335</v>
      </c>
      <c r="AD266" s="10">
        <v>2.5</v>
      </c>
      <c r="AE266" s="10">
        <v>2</v>
      </c>
      <c r="AF266" s="10">
        <v>4</v>
      </c>
      <c r="AG266" s="10">
        <v>4</v>
      </c>
      <c r="AH266" s="10">
        <v>4</v>
      </c>
      <c r="AI266" s="10">
        <v>1</v>
      </c>
      <c r="AJ266" s="10">
        <v>2.9166666666666665</v>
      </c>
      <c r="AK266" s="10">
        <v>1</v>
      </c>
      <c r="AL266" s="10">
        <v>4</v>
      </c>
      <c r="AM266" s="10">
        <v>3</v>
      </c>
      <c r="AN266" s="10">
        <v>2.6666666666666665</v>
      </c>
      <c r="AO266" s="10">
        <v>2.5</v>
      </c>
      <c r="AP266" s="10">
        <v>4.25</v>
      </c>
      <c r="AQ266" s="12">
        <v>3</v>
      </c>
      <c r="AR266" s="12">
        <v>1</v>
      </c>
      <c r="AS266" s="12">
        <v>3</v>
      </c>
      <c r="AT266" s="12">
        <v>3</v>
      </c>
      <c r="AU266" s="12">
        <v>3</v>
      </c>
      <c r="AV266" s="12">
        <v>2.6</v>
      </c>
      <c r="AW266" s="12">
        <v>3</v>
      </c>
      <c r="AX266" s="12">
        <v>3</v>
      </c>
      <c r="AY266" s="12">
        <v>3</v>
      </c>
      <c r="AZ266" s="12">
        <v>3</v>
      </c>
      <c r="BA266" s="12">
        <v>3</v>
      </c>
      <c r="BB266" s="13">
        <v>774.4</v>
      </c>
      <c r="BC266" s="13">
        <v>945.9</v>
      </c>
      <c r="BD266" s="13">
        <v>171.5</v>
      </c>
      <c r="BE266" s="13">
        <v>0.22</v>
      </c>
      <c r="BF266" s="13" t="s">
        <v>209</v>
      </c>
      <c r="BG266" s="13" t="s">
        <v>326</v>
      </c>
      <c r="BJ266" s="14" t="s">
        <v>366</v>
      </c>
      <c r="BK266" s="14" t="s">
        <v>369</v>
      </c>
      <c r="BL266" s="14" t="s">
        <v>342</v>
      </c>
      <c r="BM266" s="14" t="s">
        <v>342</v>
      </c>
      <c r="BQ266" s="14">
        <v>55</v>
      </c>
      <c r="BR266" s="14">
        <v>55</v>
      </c>
      <c r="BS266" s="14">
        <v>55</v>
      </c>
      <c r="BT266" s="14">
        <v>75</v>
      </c>
      <c r="BW266" s="14">
        <v>60</v>
      </c>
      <c r="BX266" s="9">
        <f t="shared" si="58"/>
        <v>2</v>
      </c>
      <c r="BY266" s="9">
        <f t="shared" si="59"/>
        <v>1</v>
      </c>
      <c r="BZ266" s="9">
        <f t="shared" si="60"/>
        <v>2</v>
      </c>
      <c r="CA266" s="9">
        <f t="shared" si="61"/>
        <v>1</v>
      </c>
      <c r="CB266" s="9">
        <f t="shared" si="62"/>
        <v>2.5</v>
      </c>
      <c r="CC266" s="9">
        <f t="shared" si="63"/>
        <v>4.25</v>
      </c>
      <c r="CD266" s="9">
        <f t="shared" si="64"/>
        <v>1</v>
      </c>
      <c r="CE266" s="21">
        <f t="shared" si="65"/>
        <v>3.5833333333333335</v>
      </c>
      <c r="CF266" s="21">
        <f t="shared" si="66"/>
        <v>2.9166666666666665</v>
      </c>
      <c r="CG266" s="21">
        <f t="shared" si="67"/>
        <v>3.6666666666666665</v>
      </c>
      <c r="CH266" s="21">
        <f t="shared" si="68"/>
        <v>2.6666666666666665</v>
      </c>
      <c r="CI266" s="21">
        <f t="shared" si="69"/>
        <v>4.25</v>
      </c>
      <c r="CJ266" s="21">
        <f t="shared" si="70"/>
        <v>3.4166666666666665</v>
      </c>
    </row>
    <row r="267" spans="1:88">
      <c r="A267" s="9">
        <v>267</v>
      </c>
      <c r="B267" s="9" t="s">
        <v>166</v>
      </c>
      <c r="C267" s="9" t="s">
        <v>153</v>
      </c>
      <c r="D267" s="9" t="s">
        <v>77</v>
      </c>
      <c r="E267" s="9" t="s">
        <v>78</v>
      </c>
      <c r="F267" s="9" t="s">
        <v>64</v>
      </c>
      <c r="H267" s="9" t="s">
        <v>65</v>
      </c>
      <c r="I267" s="9" t="s">
        <v>87</v>
      </c>
      <c r="J267" s="9" t="s">
        <v>65</v>
      </c>
      <c r="K267" s="9" t="s">
        <v>323</v>
      </c>
      <c r="N267" s="9" t="s">
        <v>70</v>
      </c>
      <c r="O267" s="9" t="s">
        <v>70</v>
      </c>
      <c r="P267" s="10">
        <v>2.5</v>
      </c>
      <c r="Q267" s="10">
        <v>3</v>
      </c>
      <c r="R267" s="10">
        <v>2</v>
      </c>
      <c r="S267" s="10">
        <v>4</v>
      </c>
      <c r="T267" s="10">
        <v>2.5</v>
      </c>
      <c r="U267" s="10">
        <v>2</v>
      </c>
      <c r="V267" s="10">
        <v>2.6666666666666665</v>
      </c>
      <c r="W267" s="11">
        <v>2.5</v>
      </c>
      <c r="X267" s="11">
        <v>3</v>
      </c>
      <c r="Y267" s="11">
        <v>3</v>
      </c>
      <c r="Z267" s="11">
        <v>3</v>
      </c>
      <c r="AA267" s="11"/>
      <c r="AB267" s="11"/>
      <c r="AC267" s="11">
        <v>2.2999999999999998</v>
      </c>
      <c r="AD267" s="10">
        <v>3.5</v>
      </c>
      <c r="AE267" s="10">
        <v>3</v>
      </c>
      <c r="AF267" s="10">
        <v>3</v>
      </c>
      <c r="AG267" s="10">
        <v>4</v>
      </c>
      <c r="AH267" s="10">
        <v>4</v>
      </c>
      <c r="AI267" s="10">
        <v>4</v>
      </c>
      <c r="AJ267" s="10">
        <v>3.5833333333333335</v>
      </c>
      <c r="AK267" s="10">
        <v>5</v>
      </c>
      <c r="AL267" s="10">
        <v>5</v>
      </c>
      <c r="AM267" s="10"/>
      <c r="AN267" s="10">
        <v>5</v>
      </c>
      <c r="AO267" s="10">
        <v>2</v>
      </c>
      <c r="AP267" s="10">
        <v>3.6666666666666665</v>
      </c>
      <c r="AQ267" s="12">
        <v>1</v>
      </c>
      <c r="AR267" s="12">
        <v>1</v>
      </c>
      <c r="AS267" s="12">
        <v>2</v>
      </c>
      <c r="AT267" s="12">
        <v>1</v>
      </c>
      <c r="AU267" s="12">
        <v>2.5</v>
      </c>
      <c r="AV267" s="12">
        <v>1.5</v>
      </c>
      <c r="AW267" s="12">
        <v>3</v>
      </c>
      <c r="AX267" s="12">
        <v>1</v>
      </c>
      <c r="AY267" s="12">
        <v>2</v>
      </c>
      <c r="AZ267" s="12">
        <v>2</v>
      </c>
      <c r="BA267" s="12">
        <v>2</v>
      </c>
      <c r="BB267" s="13">
        <v>354.3</v>
      </c>
      <c r="BC267" s="13">
        <v>525.20000000000005</v>
      </c>
      <c r="BD267" s="13">
        <v>17.899999999999999</v>
      </c>
      <c r="BE267" s="13">
        <v>0.48</v>
      </c>
      <c r="BF267" s="13" t="s">
        <v>209</v>
      </c>
      <c r="BG267" s="13" t="s">
        <v>326</v>
      </c>
      <c r="BJ267" s="14" t="s">
        <v>344</v>
      </c>
      <c r="BK267" s="14" t="s">
        <v>349</v>
      </c>
      <c r="BL267" s="14" t="s">
        <v>350</v>
      </c>
      <c r="BM267" s="14" t="s">
        <v>345</v>
      </c>
      <c r="BQ267" s="14">
        <v>0</v>
      </c>
      <c r="BR267" s="14">
        <v>50</v>
      </c>
      <c r="BS267" s="14">
        <v>50</v>
      </c>
      <c r="BT267" s="14">
        <v>55</v>
      </c>
      <c r="BW267" s="14">
        <v>38.75</v>
      </c>
      <c r="BX267" s="9">
        <f t="shared" si="58"/>
        <v>2.5</v>
      </c>
      <c r="BY267" s="9">
        <f t="shared" si="59"/>
        <v>3</v>
      </c>
      <c r="BZ267" s="9">
        <f t="shared" si="60"/>
        <v>2</v>
      </c>
      <c r="CA267" s="9">
        <f t="shared" si="61"/>
        <v>5</v>
      </c>
      <c r="CB267" s="9">
        <f t="shared" si="62"/>
        <v>2</v>
      </c>
      <c r="CC267" s="9">
        <f t="shared" si="63"/>
        <v>3.6666666666666665</v>
      </c>
      <c r="CD267" s="9">
        <f t="shared" si="64"/>
        <v>2</v>
      </c>
      <c r="CE267" s="21">
        <f t="shared" si="65"/>
        <v>2.2999999999999998</v>
      </c>
      <c r="CF267" s="21">
        <f t="shared" si="66"/>
        <v>3.5833333333333335</v>
      </c>
      <c r="CG267" s="21">
        <f t="shared" si="67"/>
        <v>2.6666666666666665</v>
      </c>
      <c r="CH267" s="21">
        <f t="shared" si="68"/>
        <v>5</v>
      </c>
      <c r="CI267" s="21">
        <f t="shared" si="69"/>
        <v>3.6666666666666665</v>
      </c>
      <c r="CJ267" s="21">
        <f t="shared" si="70"/>
        <v>3.4433333333333329</v>
      </c>
    </row>
    <row r="268" spans="1:88">
      <c r="A268" s="9">
        <v>268</v>
      </c>
      <c r="B268" s="9" t="s">
        <v>114</v>
      </c>
      <c r="C268" s="9" t="s">
        <v>85</v>
      </c>
      <c r="D268" s="9" t="s">
        <v>72</v>
      </c>
      <c r="E268" s="9" t="s">
        <v>74</v>
      </c>
      <c r="F268" s="9" t="s">
        <v>64</v>
      </c>
      <c r="H268" s="9" t="s">
        <v>65</v>
      </c>
      <c r="I268" s="9" t="s">
        <v>87</v>
      </c>
      <c r="J268" s="9" t="s">
        <v>65</v>
      </c>
      <c r="K268" s="9" t="s">
        <v>323</v>
      </c>
      <c r="N268" s="9" t="s">
        <v>70</v>
      </c>
      <c r="O268" s="9" t="s">
        <v>70</v>
      </c>
      <c r="P268" s="10">
        <v>3.5</v>
      </c>
      <c r="Q268" s="10">
        <v>3</v>
      </c>
      <c r="R268" s="10">
        <v>3</v>
      </c>
      <c r="S268" s="10">
        <v>3</v>
      </c>
      <c r="T268" s="10">
        <v>4.5</v>
      </c>
      <c r="U268" s="10">
        <v>4</v>
      </c>
      <c r="V268" s="10">
        <v>3.5</v>
      </c>
      <c r="W268" s="11">
        <v>3.5</v>
      </c>
      <c r="X268" s="11">
        <v>4</v>
      </c>
      <c r="Y268" s="11">
        <v>3</v>
      </c>
      <c r="Z268" s="11">
        <v>3</v>
      </c>
      <c r="AA268" s="11">
        <v>4</v>
      </c>
      <c r="AB268" s="11">
        <v>3</v>
      </c>
      <c r="AC268" s="11">
        <v>3.4166666666666665</v>
      </c>
      <c r="AD268" s="10">
        <v>4.5</v>
      </c>
      <c r="AE268" s="10">
        <v>1</v>
      </c>
      <c r="AF268" s="10">
        <v>4</v>
      </c>
      <c r="AG268" s="10">
        <v>4.5</v>
      </c>
      <c r="AH268" s="10">
        <v>4.5</v>
      </c>
      <c r="AI268" s="10">
        <v>5</v>
      </c>
      <c r="AJ268" s="10">
        <v>3.9166666666666665</v>
      </c>
      <c r="AK268" s="10">
        <v>5</v>
      </c>
      <c r="AL268" s="10">
        <v>5</v>
      </c>
      <c r="AM268" s="10">
        <v>5</v>
      </c>
      <c r="AN268" s="10">
        <v>5</v>
      </c>
      <c r="AO268" s="10">
        <v>2</v>
      </c>
      <c r="AP268" s="10">
        <v>4</v>
      </c>
      <c r="AQ268" s="12">
        <v>2</v>
      </c>
      <c r="AR268" s="12">
        <v>3</v>
      </c>
      <c r="AS268" s="12">
        <v>3</v>
      </c>
      <c r="AT268" s="12">
        <v>3</v>
      </c>
      <c r="AU268" s="12">
        <v>2.5</v>
      </c>
      <c r="AV268" s="12">
        <v>2.7</v>
      </c>
      <c r="AW268" s="12">
        <v>3</v>
      </c>
      <c r="AX268" s="12">
        <v>3</v>
      </c>
      <c r="AY268" s="12">
        <v>3</v>
      </c>
      <c r="AZ268" s="12">
        <v>3</v>
      </c>
      <c r="BA268" s="12">
        <v>3</v>
      </c>
      <c r="BB268" s="13">
        <v>68.5</v>
      </c>
      <c r="BC268" s="13">
        <v>831.1</v>
      </c>
      <c r="BD268" s="13">
        <v>24.6</v>
      </c>
      <c r="BE268" s="13">
        <v>0.34</v>
      </c>
      <c r="BF268" s="13" t="s">
        <v>220</v>
      </c>
      <c r="BG268" s="13" t="s">
        <v>326</v>
      </c>
      <c r="BJ268" s="14" t="s">
        <v>347</v>
      </c>
      <c r="BK268" s="14" t="s">
        <v>339</v>
      </c>
      <c r="BL268" s="14" t="s">
        <v>360</v>
      </c>
      <c r="BQ268" s="14">
        <v>55</v>
      </c>
      <c r="BR268" s="14">
        <v>55</v>
      </c>
      <c r="BS268" s="14">
        <v>55</v>
      </c>
      <c r="BT268" s="14">
        <v>70</v>
      </c>
      <c r="BW268" s="14">
        <v>58.75</v>
      </c>
      <c r="BX268" s="9">
        <f t="shared" si="58"/>
        <v>3</v>
      </c>
      <c r="BY268" s="9">
        <f t="shared" si="59"/>
        <v>1</v>
      </c>
      <c r="BZ268" s="9">
        <f t="shared" si="60"/>
        <v>3</v>
      </c>
      <c r="CA268" s="9">
        <f t="shared" si="61"/>
        <v>5</v>
      </c>
      <c r="CB268" s="9">
        <f t="shared" si="62"/>
        <v>2</v>
      </c>
      <c r="CC268" s="9">
        <f t="shared" si="63"/>
        <v>4</v>
      </c>
      <c r="CD268" s="9">
        <f t="shared" si="64"/>
        <v>1</v>
      </c>
      <c r="CE268" s="21">
        <f t="shared" si="65"/>
        <v>3.4166666666666665</v>
      </c>
      <c r="CF268" s="21">
        <f t="shared" si="66"/>
        <v>3.9166666666666665</v>
      </c>
      <c r="CG268" s="21">
        <f t="shared" si="67"/>
        <v>3.5</v>
      </c>
      <c r="CH268" s="21">
        <f t="shared" si="68"/>
        <v>5</v>
      </c>
      <c r="CI268" s="21">
        <f t="shared" si="69"/>
        <v>4</v>
      </c>
      <c r="CJ268" s="21">
        <f t="shared" si="70"/>
        <v>3.9666666666666663</v>
      </c>
    </row>
    <row r="269" spans="1:88">
      <c r="A269" s="9">
        <v>269</v>
      </c>
      <c r="B269" s="9" t="s">
        <v>370</v>
      </c>
      <c r="D269" s="9" t="s">
        <v>82</v>
      </c>
      <c r="E269" s="9" t="s">
        <v>105</v>
      </c>
      <c r="F269" s="9" t="s">
        <v>78</v>
      </c>
      <c r="H269" s="9" t="s">
        <v>69</v>
      </c>
      <c r="K269" s="62">
        <v>3</v>
      </c>
      <c r="P269" s="10">
        <v>3</v>
      </c>
      <c r="Q269" s="10">
        <v>4</v>
      </c>
      <c r="R269" s="10">
        <v>3</v>
      </c>
      <c r="S269" s="10">
        <v>3</v>
      </c>
      <c r="T269" s="10">
        <v>4</v>
      </c>
      <c r="U269" s="10">
        <v>3</v>
      </c>
      <c r="V269" s="10"/>
      <c r="W269" s="11">
        <v>5</v>
      </c>
      <c r="X269" s="11">
        <v>5</v>
      </c>
      <c r="Y269" s="11">
        <v>3</v>
      </c>
      <c r="Z269" s="11">
        <v>4</v>
      </c>
      <c r="AA269" s="11">
        <v>4</v>
      </c>
      <c r="AB269" s="11">
        <v>3</v>
      </c>
      <c r="AC269" s="11"/>
      <c r="AD269" s="10">
        <v>3</v>
      </c>
      <c r="AE269" s="10">
        <v>4</v>
      </c>
      <c r="AF269" s="10">
        <v>1</v>
      </c>
      <c r="AG269" s="10">
        <v>3</v>
      </c>
      <c r="AH269" s="10">
        <v>1</v>
      </c>
      <c r="AI269" s="10">
        <v>3</v>
      </c>
      <c r="AJ269" s="10"/>
      <c r="AK269" s="10">
        <v>4</v>
      </c>
      <c r="AL269" s="10">
        <v>4</v>
      </c>
      <c r="AM269" s="10">
        <v>5</v>
      </c>
      <c r="AN269" s="10"/>
      <c r="AO269" s="10">
        <v>3</v>
      </c>
      <c r="AP269" s="10"/>
    </row>
    <row r="270" spans="1:88">
      <c r="A270" s="9">
        <v>270</v>
      </c>
      <c r="B270" s="9" t="s">
        <v>370</v>
      </c>
      <c r="D270" s="9" t="s">
        <v>128</v>
      </c>
      <c r="E270" s="9" t="s">
        <v>74</v>
      </c>
      <c r="F270" s="9" t="s">
        <v>64</v>
      </c>
      <c r="H270" s="9" t="s">
        <v>69</v>
      </c>
      <c r="K270" s="9">
        <v>3</v>
      </c>
      <c r="N270" s="9" t="s">
        <v>70</v>
      </c>
      <c r="P270" s="10">
        <v>3</v>
      </c>
      <c r="Q270" s="10">
        <v>3</v>
      </c>
      <c r="R270" s="10">
        <v>3</v>
      </c>
      <c r="S270" s="10">
        <v>3</v>
      </c>
      <c r="T270" s="10">
        <v>3</v>
      </c>
      <c r="U270" s="10">
        <v>3</v>
      </c>
      <c r="V270" s="10"/>
      <c r="W270" s="11">
        <v>4</v>
      </c>
      <c r="X270" s="11">
        <v>3</v>
      </c>
      <c r="Y270" s="11">
        <v>3</v>
      </c>
      <c r="Z270" s="11" t="s">
        <v>371</v>
      </c>
      <c r="AA270" s="11">
        <v>3</v>
      </c>
      <c r="AB270" s="11">
        <v>3</v>
      </c>
      <c r="AC270" s="11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</row>
    <row r="271" spans="1:88">
      <c r="S271" s="10"/>
      <c r="T271" s="10"/>
      <c r="U271" s="10"/>
      <c r="V271" s="10"/>
      <c r="W271" s="11"/>
      <c r="X271" s="11"/>
      <c r="Y271" s="11"/>
      <c r="Z271" s="11"/>
      <c r="AA271" s="11"/>
      <c r="AB271" s="11"/>
      <c r="AC271" s="11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</row>
    <row r="272" spans="1:88">
      <c r="S272" s="10"/>
      <c r="T272" s="10"/>
      <c r="U272" s="10"/>
      <c r="V272" s="10"/>
      <c r="W272" s="11"/>
      <c r="X272" s="11"/>
      <c r="Y272" s="11"/>
      <c r="Z272" s="11"/>
      <c r="AA272" s="11"/>
      <c r="AB272" s="11"/>
      <c r="AC272" s="11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</row>
    <row r="273" spans="19:42">
      <c r="S273" s="10"/>
      <c r="T273" s="10"/>
      <c r="U273" s="10"/>
      <c r="V273" s="10"/>
      <c r="W273" s="11"/>
      <c r="X273" s="11"/>
      <c r="Y273" s="11"/>
      <c r="Z273" s="11"/>
      <c r="AA273" s="11"/>
      <c r="AB273" s="11"/>
      <c r="AC273" s="11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</row>
    <row r="274" spans="19:42">
      <c r="S274" s="10"/>
      <c r="T274" s="10"/>
      <c r="U274" s="10"/>
      <c r="V274" s="10"/>
      <c r="W274" s="11"/>
      <c r="X274" s="11"/>
      <c r="Y274" s="11"/>
      <c r="Z274" s="11"/>
      <c r="AA274" s="11"/>
      <c r="AB274" s="11"/>
      <c r="AC274" s="11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</row>
    <row r="275" spans="19:42">
      <c r="S275" s="10"/>
      <c r="T275" s="10"/>
      <c r="U275" s="10"/>
      <c r="V275" s="10"/>
      <c r="W275" s="11"/>
      <c r="X275" s="11"/>
      <c r="Y275" s="11"/>
      <c r="Z275" s="11"/>
      <c r="AA275" s="11"/>
      <c r="AB275" s="11"/>
      <c r="AC275" s="11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</row>
    <row r="276" spans="19:42">
      <c r="S276" s="10"/>
      <c r="T276" s="10"/>
      <c r="U276" s="10"/>
      <c r="V276" s="10"/>
      <c r="W276" s="11"/>
      <c r="X276" s="11"/>
      <c r="Y276" s="11"/>
      <c r="Z276" s="11"/>
      <c r="AA276" s="11"/>
      <c r="AB276" s="11"/>
      <c r="AC276" s="11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</row>
    <row r="277" spans="19:42">
      <c r="S277" s="10"/>
      <c r="T277" s="10"/>
      <c r="U277" s="10"/>
      <c r="V277" s="10"/>
      <c r="W277" s="11"/>
      <c r="X277" s="11"/>
      <c r="Y277" s="11"/>
      <c r="Z277" s="11"/>
      <c r="AA277" s="11"/>
      <c r="AB277" s="11"/>
      <c r="AC277" s="11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</row>
  </sheetData>
  <autoFilter ref="A1:BW268" xr:uid="{2A3F273D-1C05-4379-9362-1E0FA53208F5}"/>
  <pageMargins left="0.70866141732283472" right="0.70866141732283472" top="0.74803149606299213" bottom="0.74803149606299213" header="0.31496062992125984" footer="0.31496062992125984"/>
  <pageSetup paperSize="9" scale="30" fitToWidth="4" fitToHeight="0" orientation="landscape" r:id="rId1"/>
  <headerFooter>
    <oddHeader>&amp;L&amp;"Aptos"&amp;10&amp;K000000 Begränsad delning&amp;1#_x000D_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Jackets Visual Inspection</vt:lpstr>
      <vt:lpstr>All Jackets BAST Results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Judith Waller</dc:creator>
  <cp:keywords/>
  <dc:description/>
  <cp:lastModifiedBy>Eleonora  Bianca</cp:lastModifiedBy>
  <cp:revision/>
  <dcterms:created xsi:type="dcterms:W3CDTF">2026-01-20T12:51:57Z</dcterms:created>
  <dcterms:modified xsi:type="dcterms:W3CDTF">2026-10-29T09:31:14Z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7a9e035-fc31-4a12-9147-f5d37fc656b3_Enabled">
    <vt:lpwstr>true</vt:lpwstr>
  </property>
  <property fmtid="{D5CDD505-2E9C-101B-9397-08002B2CF9AE}" pid="3" name="MSIP_Label_e7a9e035-fc31-4a12-9147-f5d37fc656b3_SetDate">
    <vt:lpwstr>2026-01-20T12:58:50Z</vt:lpwstr>
  </property>
  <property fmtid="{D5CDD505-2E9C-101B-9397-08002B2CF9AE}" pid="4" name="MSIP_Label_e7a9e035-fc31-4a12-9147-f5d37fc656b3_Method">
    <vt:lpwstr>Standard</vt:lpwstr>
  </property>
  <property fmtid="{D5CDD505-2E9C-101B-9397-08002B2CF9AE}" pid="5" name="MSIP_Label_e7a9e035-fc31-4a12-9147-f5d37fc656b3_Name">
    <vt:lpwstr>Begränsad delning</vt:lpwstr>
  </property>
  <property fmtid="{D5CDD505-2E9C-101B-9397-08002B2CF9AE}" pid="6" name="MSIP_Label_e7a9e035-fc31-4a12-9147-f5d37fc656b3_SiteId">
    <vt:lpwstr>8234e57a-f0d7-4e7d-bac5-8f1a2c565e73</vt:lpwstr>
  </property>
  <property fmtid="{D5CDD505-2E9C-101B-9397-08002B2CF9AE}" pid="7" name="MSIP_Label_e7a9e035-fc31-4a12-9147-f5d37fc656b3_ActionId">
    <vt:lpwstr>bba8f86d-5bef-4bce-9e9e-756b31aae6e3</vt:lpwstr>
  </property>
  <property fmtid="{D5CDD505-2E9C-101B-9397-08002B2CF9AE}" pid="8" name="MSIP_Label_e7a9e035-fc31-4a12-9147-f5d37fc656b3_ContentBits">
    <vt:lpwstr>1</vt:lpwstr>
  </property>
  <property fmtid="{D5CDD505-2E9C-101B-9397-08002B2CF9AE}" pid="9" name="MSIP_Label_e7a9e035-fc31-4a12-9147-f5d37fc656b3_Tag">
    <vt:lpwstr>10, 3, 0, 1</vt:lpwstr>
  </property>
</Properties>
</file>